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7FD42FDD-63F4-4F5E-8650-018C1365DD19}" xr6:coauthVersionLast="47" xr6:coauthVersionMax="47" xr10:uidLastSave="{00000000-0000-0000-0000-000000000000}"/>
  <bookViews>
    <workbookView xWindow="-120" yWindow="-120" windowWidth="29040" windowHeight="15720" activeTab="1" xr2:uid="{8A71DC28-49E8-41AA-9117-775B2AFBA393}"/>
  </bookViews>
  <sheets>
    <sheet name="カレンダー" sheetId="2" r:id="rId1"/>
    <sheet name="コスト表" sheetId="3" r:id="rId2"/>
    <sheet name="クラス設計" sheetId="7" r:id="rId3"/>
    <sheet name="仕様とか洗い出し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3" l="1"/>
  <c r="M6" i="3"/>
  <c r="M7" i="3"/>
  <c r="L7" i="3"/>
  <c r="L6" i="3"/>
  <c r="L5" i="3"/>
  <c r="M4" i="3"/>
  <c r="L4" i="3"/>
  <c r="K7" i="3"/>
  <c r="K6" i="3"/>
  <c r="K5" i="3"/>
  <c r="K4" i="3"/>
  <c r="K9" i="2"/>
</calcChain>
</file>

<file path=xl/sharedStrings.xml><?xml version="1.0" encoding="utf-8"?>
<sst xmlns="http://schemas.openxmlformats.org/spreadsheetml/2006/main" count="255" uniqueCount="125">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</sst>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0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L12" sqref="L12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105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48"/>
  <sheetViews>
    <sheetView tabSelected="1" topLeftCell="A33" workbookViewId="0">
      <selection activeCell="K45" sqref="K45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SUM(F4:F100)</f>
        <v>207</v>
      </c>
      <c r="L4">
        <f>SUMIFS(G4:G100,H4:H100,"完了")</f>
        <v>0</v>
      </c>
      <c r="M4">
        <f>K4 - L4</f>
        <v>207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SUMIFS(F4:F100,E4:E100,"プロト")</f>
        <v>127</v>
      </c>
      <c r="L5">
        <f>SUMIFS(G4:G100,H4:H100,"完了",E4:E100,"プロト")</f>
        <v>0</v>
      </c>
      <c r="M5">
        <f t="shared" ref="M5:M7" si="0">K5 - L5</f>
        <v>127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SUMIFS(F4:F100,E4:E100,"アルファ")</f>
        <v>71</v>
      </c>
      <c r="L6">
        <f>SUMIFS(G4:G100,H4:H100,"完了",E4:E100,"アルファ")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SUMIFS(F4:F100,E4:E100,"ベータ")</f>
        <v>9</v>
      </c>
      <c r="L7">
        <f>SUMIFS(G4:G100,H4:H100,"完了",E4:E100,"ベータ")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s="24" t="s">
        <v>85</v>
      </c>
      <c r="F9" s="24">
        <v>1</v>
      </c>
      <c r="G9" s="24"/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s="24" t="s">
        <v>85</v>
      </c>
      <c r="F10" s="24">
        <v>2</v>
      </c>
      <c r="G10" s="24"/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s="24" t="s">
        <v>85</v>
      </c>
      <c r="F11" s="24">
        <v>1</v>
      </c>
      <c r="G11" s="24"/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s="24" t="s">
        <v>85</v>
      </c>
      <c r="F12" s="24">
        <v>10</v>
      </c>
      <c r="G12" s="24"/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s="24" t="s">
        <v>85</v>
      </c>
      <c r="F13" s="24">
        <v>5</v>
      </c>
      <c r="G13" s="24"/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s="24" t="s">
        <v>85</v>
      </c>
      <c r="F16" s="24">
        <v>7</v>
      </c>
      <c r="G16" s="24"/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s="24" t="s">
        <v>85</v>
      </c>
      <c r="F19" s="24">
        <v>5</v>
      </c>
      <c r="G19" s="24"/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s="24" t="s">
        <v>85</v>
      </c>
      <c r="F20" s="24">
        <v>5</v>
      </c>
      <c r="G20" s="24"/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s="24" t="s">
        <v>85</v>
      </c>
      <c r="F23" s="24">
        <v>4</v>
      </c>
      <c r="G23" s="24"/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s="24" t="s">
        <v>86</v>
      </c>
      <c r="F24" s="24">
        <v>4</v>
      </c>
      <c r="G24" s="24"/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s="24" t="s">
        <v>86</v>
      </c>
      <c r="F25" s="24">
        <v>4</v>
      </c>
      <c r="G25" s="24"/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s="24" t="s">
        <v>85</v>
      </c>
      <c r="F26" s="24">
        <v>7</v>
      </c>
      <c r="G26" s="24"/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s="24" t="s">
        <v>86</v>
      </c>
      <c r="F27" s="24">
        <v>5</v>
      </c>
      <c r="G27" s="24"/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s="24" t="s">
        <v>86</v>
      </c>
      <c r="F30" s="24">
        <v>10</v>
      </c>
      <c r="G30" s="24"/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21" t="s">
        <v>46</v>
      </c>
      <c r="B32" s="22"/>
      <c r="C32" s="23"/>
      <c r="D32" s="21" t="s">
        <v>69</v>
      </c>
      <c r="E32" s="22" t="s">
        <v>85</v>
      </c>
      <c r="F32" s="22">
        <v>15</v>
      </c>
      <c r="G32" s="22"/>
      <c r="H32" s="23" t="s">
        <v>104</v>
      </c>
    </row>
    <row r="33" spans="1:8" x14ac:dyDescent="0.4">
      <c r="A33" s="13" t="s">
        <v>54</v>
      </c>
      <c r="B33" s="14" t="s">
        <v>55</v>
      </c>
      <c r="C33" s="15"/>
      <c r="D33" s="13" t="s">
        <v>69</v>
      </c>
      <c r="E33" s="14" t="s">
        <v>85</v>
      </c>
      <c r="F33" s="14">
        <v>5</v>
      </c>
      <c r="G33" s="14"/>
      <c r="H33" s="15" t="s">
        <v>104</v>
      </c>
    </row>
    <row r="34" spans="1:8" x14ac:dyDescent="0.4">
      <c r="A34" s="16"/>
      <c r="B34" t="s">
        <v>56</v>
      </c>
      <c r="C34" s="17"/>
      <c r="D34" s="16" t="s">
        <v>69</v>
      </c>
      <c r="E34" s="24" t="s">
        <v>85</v>
      </c>
      <c r="F34" s="24">
        <v>5</v>
      </c>
      <c r="G34" s="24"/>
      <c r="H34" s="17" t="s">
        <v>104</v>
      </c>
    </row>
    <row r="35" spans="1:8" x14ac:dyDescent="0.4">
      <c r="A35" s="16"/>
      <c r="B35" t="s">
        <v>57</v>
      </c>
      <c r="C35" s="17"/>
      <c r="D35" s="16" t="s">
        <v>69</v>
      </c>
      <c r="E35" s="24" t="s">
        <v>86</v>
      </c>
      <c r="F35" s="24">
        <v>5</v>
      </c>
      <c r="G35" s="24"/>
      <c r="H35" s="17" t="s">
        <v>104</v>
      </c>
    </row>
    <row r="36" spans="1:8" ht="19.5" thickBot="1" x14ac:dyDescent="0.45">
      <c r="A36" s="18"/>
      <c r="B36" s="19" t="s">
        <v>58</v>
      </c>
      <c r="C36" s="20"/>
      <c r="D36" s="18" t="s">
        <v>69</v>
      </c>
      <c r="E36" s="19" t="s">
        <v>87</v>
      </c>
      <c r="F36" s="19">
        <v>5</v>
      </c>
      <c r="G36" s="19"/>
      <c r="H36" s="20" t="s">
        <v>104</v>
      </c>
    </row>
    <row r="37" spans="1:8" x14ac:dyDescent="0.4">
      <c r="A37" s="13" t="s">
        <v>61</v>
      </c>
      <c r="B37" s="14" t="s">
        <v>79</v>
      </c>
      <c r="C37" s="15"/>
      <c r="D37" s="13" t="s">
        <v>69</v>
      </c>
      <c r="E37" s="14" t="s">
        <v>86</v>
      </c>
      <c r="F37" s="14">
        <v>2</v>
      </c>
      <c r="G37" s="14"/>
      <c r="H37" s="15" t="s">
        <v>104</v>
      </c>
    </row>
    <row r="38" spans="1:8" x14ac:dyDescent="0.4">
      <c r="A38" s="16"/>
      <c r="B38" t="s">
        <v>84</v>
      </c>
      <c r="C38" s="17"/>
      <c r="D38" s="16" t="s">
        <v>69</v>
      </c>
      <c r="E38" s="24" t="s">
        <v>86</v>
      </c>
      <c r="F38" s="24">
        <v>4</v>
      </c>
      <c r="G38" s="24"/>
      <c r="H38" s="17" t="s">
        <v>104</v>
      </c>
    </row>
    <row r="39" spans="1:8" x14ac:dyDescent="0.4">
      <c r="A39" s="16"/>
      <c r="B39" t="s">
        <v>80</v>
      </c>
      <c r="C39" s="17"/>
      <c r="D39" s="16" t="s">
        <v>69</v>
      </c>
      <c r="E39" s="24" t="s">
        <v>86</v>
      </c>
      <c r="F39" s="24">
        <v>2</v>
      </c>
      <c r="G39" s="24"/>
      <c r="H39" s="17" t="s">
        <v>104</v>
      </c>
    </row>
    <row r="40" spans="1:8" ht="19.5" thickBot="1" x14ac:dyDescent="0.45">
      <c r="A40" s="18"/>
      <c r="B40" s="19" t="s">
        <v>83</v>
      </c>
      <c r="C40" s="20"/>
      <c r="D40" s="18" t="s">
        <v>69</v>
      </c>
      <c r="E40" s="19" t="s">
        <v>87</v>
      </c>
      <c r="F40" s="19">
        <v>4</v>
      </c>
      <c r="G40" s="19"/>
      <c r="H40" s="20" t="s">
        <v>104</v>
      </c>
    </row>
    <row r="41" spans="1:8" x14ac:dyDescent="0.4">
      <c r="A41" s="13" t="s">
        <v>91</v>
      </c>
      <c r="B41" s="14" t="s">
        <v>92</v>
      </c>
      <c r="C41" s="15"/>
      <c r="D41" s="13" t="s">
        <v>100</v>
      </c>
      <c r="E41" s="14" t="s">
        <v>4</v>
      </c>
      <c r="F41" s="14">
        <v>3</v>
      </c>
      <c r="G41" s="14"/>
      <c r="H41" s="15" t="s">
        <v>104</v>
      </c>
    </row>
    <row r="42" spans="1:8" x14ac:dyDescent="0.4">
      <c r="A42" s="16"/>
      <c r="B42" t="s">
        <v>93</v>
      </c>
      <c r="C42" s="17"/>
      <c r="D42" s="16" t="s">
        <v>100</v>
      </c>
      <c r="E42" s="24" t="s">
        <v>4</v>
      </c>
      <c r="F42" s="24">
        <v>5</v>
      </c>
      <c r="G42" s="24"/>
      <c r="H42" s="17" t="s">
        <v>104</v>
      </c>
    </row>
    <row r="43" spans="1:8" x14ac:dyDescent="0.4">
      <c r="A43" s="16"/>
      <c r="B43" t="s">
        <v>94</v>
      </c>
      <c r="C43" s="17"/>
      <c r="D43" s="16" t="s">
        <v>100</v>
      </c>
      <c r="E43" s="24" t="s">
        <v>5</v>
      </c>
      <c r="F43" s="24">
        <v>3</v>
      </c>
      <c r="G43" s="24"/>
      <c r="H43" s="17" t="s">
        <v>104</v>
      </c>
    </row>
    <row r="44" spans="1:8" x14ac:dyDescent="0.4">
      <c r="A44" s="16"/>
      <c r="B44" t="s">
        <v>96</v>
      </c>
      <c r="C44" s="17"/>
      <c r="D44" s="16" t="s">
        <v>100</v>
      </c>
      <c r="E44" s="24" t="s">
        <v>5</v>
      </c>
      <c r="F44" s="24">
        <v>3</v>
      </c>
      <c r="G44" s="24"/>
      <c r="H44" s="17" t="s">
        <v>104</v>
      </c>
    </row>
    <row r="45" spans="1:8" x14ac:dyDescent="0.4">
      <c r="A45" s="16"/>
      <c r="B45" t="s">
        <v>97</v>
      </c>
      <c r="C45" s="17"/>
      <c r="D45" s="16" t="s">
        <v>100</v>
      </c>
      <c r="E45" s="24" t="s">
        <v>5</v>
      </c>
      <c r="F45" s="24">
        <v>3</v>
      </c>
      <c r="G45" s="24"/>
      <c r="H45" s="17" t="s">
        <v>104</v>
      </c>
    </row>
    <row r="46" spans="1:8" x14ac:dyDescent="0.4">
      <c r="A46" s="16"/>
      <c r="B46" t="s">
        <v>95</v>
      </c>
      <c r="C46" s="17"/>
      <c r="D46" s="16" t="s">
        <v>100</v>
      </c>
      <c r="E46" s="24" t="s">
        <v>5</v>
      </c>
      <c r="F46" s="24">
        <v>3</v>
      </c>
      <c r="G46" s="24"/>
      <c r="H46" s="17" t="s">
        <v>104</v>
      </c>
    </row>
    <row r="47" spans="1:8" x14ac:dyDescent="0.4">
      <c r="A47" s="16"/>
      <c r="B47" t="s">
        <v>98</v>
      </c>
      <c r="C47" s="17"/>
      <c r="D47" s="16" t="s">
        <v>100</v>
      </c>
      <c r="E47" s="24" t="s">
        <v>5</v>
      </c>
      <c r="F47" s="24">
        <v>3</v>
      </c>
      <c r="G47" s="24"/>
      <c r="H47" s="17" t="s">
        <v>104</v>
      </c>
    </row>
    <row r="48" spans="1:8" ht="19.5" thickBot="1" x14ac:dyDescent="0.45">
      <c r="A48" s="18"/>
      <c r="B48" s="19" t="s">
        <v>99</v>
      </c>
      <c r="C48" s="20"/>
      <c r="D48" s="18" t="s">
        <v>101</v>
      </c>
      <c r="E48" s="19" t="s">
        <v>5</v>
      </c>
      <c r="F48" s="19">
        <v>5</v>
      </c>
      <c r="G48" s="19"/>
      <c r="H48" s="20" t="s">
        <v>104</v>
      </c>
    </row>
  </sheetData>
  <phoneticPr fontId="1"/>
  <dataValidations count="1">
    <dataValidation type="list" allowBlank="1" showInputMessage="1" showErrorMessage="1" sqref="H4:H100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B10"/>
  <sheetViews>
    <sheetView workbookViewId="0">
      <selection activeCell="J17" sqref="J17"/>
    </sheetView>
  </sheetViews>
  <sheetFormatPr defaultRowHeight="18.75" x14ac:dyDescent="0.4"/>
  <cols>
    <col min="1" max="1" width="15" bestFit="1" customWidth="1"/>
  </cols>
  <sheetData>
    <row r="1" spans="1:2" x14ac:dyDescent="0.4">
      <c r="A1" t="s">
        <v>106</v>
      </c>
      <c r="B1" t="s">
        <v>107</v>
      </c>
    </row>
    <row r="2" spans="1:2" x14ac:dyDescent="0.4">
      <c r="A2" t="s">
        <v>105</v>
      </c>
      <c r="B2" t="s">
        <v>113</v>
      </c>
    </row>
    <row r="3" spans="1:2" x14ac:dyDescent="0.4">
      <c r="A3" t="s">
        <v>108</v>
      </c>
      <c r="B3" t="s">
        <v>114</v>
      </c>
    </row>
    <row r="4" spans="1:2" x14ac:dyDescent="0.4">
      <c r="A4" t="s">
        <v>109</v>
      </c>
      <c r="B4" t="s">
        <v>110</v>
      </c>
    </row>
    <row r="5" spans="1:2" x14ac:dyDescent="0.4">
      <c r="A5" t="s">
        <v>111</v>
      </c>
      <c r="B5" t="s">
        <v>112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119</v>
      </c>
      <c r="B8" t="s">
        <v>120</v>
      </c>
    </row>
    <row r="9" spans="1:2" x14ac:dyDescent="0.4">
      <c r="A9" t="s">
        <v>121</v>
      </c>
      <c r="B9" t="s">
        <v>122</v>
      </c>
    </row>
    <row r="10" spans="1:2" x14ac:dyDescent="0.4">
      <c r="A10" t="s">
        <v>123</v>
      </c>
      <c r="B10" t="s">
        <v>124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カレンダー</vt:lpstr>
      <vt:lpstr>コスト表</vt:lpstr>
      <vt:lpstr>クラス設計</vt:lpstr>
      <vt:lpstr>仕様とか洗い出し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2026-09-17T07:26:43Z</dcterms:modified>
</cp:coreProperties>
</file>