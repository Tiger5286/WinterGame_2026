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546430A1-6A0C-4257-B839-E0DCB8F848AF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0" l="1"/>
  <c r="K11" i="10"/>
  <c r="K10" i="10"/>
  <c r="K9" i="10"/>
  <c r="L8" i="3"/>
  <c r="L7" i="3"/>
  <c r="L6" i="3"/>
  <c r="L4" i="3"/>
  <c r="K8" i="3"/>
  <c r="K7" i="3"/>
  <c r="K6" i="3"/>
  <c r="K4" i="3"/>
  <c r="L11" i="3" s="1"/>
  <c r="L12" i="3" l="1"/>
  <c r="L14" i="3"/>
  <c r="L13" i="3"/>
  <c r="M7" i="3"/>
  <c r="M6" i="3"/>
  <c r="M4" i="3"/>
  <c r="M8" i="3"/>
</calcChain>
</file>

<file path=xl/sharedStrings.xml><?xml version="1.0" encoding="utf-8"?>
<sst xmlns="http://schemas.openxmlformats.org/spreadsheetml/2006/main" count="355" uniqueCount="195">
  <si>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</si>
  <si>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</si>
  <si>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</si>
  <si>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</si>
  <si>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</si>
  <si>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</si>
  <si>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</si>
  <si>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</si>
  <si>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</si>
  <si>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</si>
  <si>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</si>
  <si>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</si>
  <si>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</si>
  <si>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</si>
  <si>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</si>
  <si>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</si>
  <si>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</si>
  <si>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</si>
  <si>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</si>
  <si>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</si>
  <si>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</si>
  <si>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</si>
  <si>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</si>
  <si>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</si>
  <si>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</si>
  <si>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</si>
  <si>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</si>
  <si>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</si>
  <si>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</si>
  <si>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</si>
  <si>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</si>
  <si>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</si>
  <si>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</si>
  <si>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</si>
  <si>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</si>
  <si>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</si>
  <si>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</si>
  <si>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</si>
  <si>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</si>
  <si>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</si>
  <si>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</si>
  <si>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</si>
  <si>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</si>
  <si>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</si>
  <si>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</si>
  <si>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</si>
  <si>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</si>
  <si>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</si>
  <si>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</si>
  <si>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</si>
  <si>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</si>
  <si>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</si>
  <si>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</si>
  <si>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</si>
  <si>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</si>
  <si>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</si>
  <si>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</si>
  <si>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</si>
  <si>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</si>
  <si>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</si>
  <si>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</si>
  <si>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</si>
  <si>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</si>
  <si>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</si>
  <si>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</si>
  <si>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</si>
  <si>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</si>
  <si>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</si>
  <si>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</si>
  <si>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</si>
  <si>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</si>
  <si>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</si>
  <si>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</si>
  <si>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</si>
  <si>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</si>
  <si>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</si>
  <si>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</si>
  <si>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</si>
  <si>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</si>
  <si>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</si>
  <si>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</si>
  <si>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</si>
  <si>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</si>
  <si>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</si>
  <si>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</si>
  <si>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</si>
  <si>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</si>
  <si>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</si>
  <si>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</si>
  <si>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</si>
  <si>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</si>
  <si>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</si>
  <si>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</si>
  <si>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</si>
  <si>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</si>
  <si>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</si>
  <si>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</si>
  <si>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</si>
  <si>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</si>
  <si>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</si>
  <si>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</si>
  <si>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</si>
  <si>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</si>
  <si>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</si>
  <si>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</si>
  <si>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</si>
  <si>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</si>
  <si>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</si>
  <si>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</si>
  <si>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</si>
  <si>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</si>
  <si>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</si>
  <si>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</si>
  <si>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</si>
  <si>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</si>
  <si>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</si>
  <si>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</si>
  <si>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</si>
  <si>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</si>
  <si>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</si>
  <si>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</si>
  <si>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</si>
  <si>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</si>
  <si>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</si>
  <si>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</si>
  <si>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</si>
  <si>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</si>
  <si>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</si>
  <si>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</si>
  <si>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</si>
  <si>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</si>
  <si>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</si>
  <si>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</si>
  <si>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</si>
  <si>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</si>
  <si>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</si>
  <si>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</si>
  <si>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</si>
  <si>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</si>
  <si>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</si>
  <si>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</si>
  <si>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</si>
  <si>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</si>
  <si>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</si>
  <si>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</si>
  <si>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</si>
  <si>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</si>
  <si>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</si>
  <si>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</si>
  <si>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</si>
  <si>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</si>
  <si>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</si>
  <si>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</si>
  <si>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</si>
  <si>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</si>
  <si>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</si>
  <si>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</si>
  <si>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</si>
  <si>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</si>
  <si>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</si>
  <si>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</si>
  <si>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</si>
  <si>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</si>
  <si>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</si>
  <si>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</si>
  <si>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</si>
  <si>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</si>
  <si>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</si>
  <si>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</si>
  <si>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</si>
  <si>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</si>
  <si>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</si>
  <si>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</si>
  <si>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</si>
  <si>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</si>
  <si>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</si>
  <si>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</si>
  <si>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</si>
  <si>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</si>
  <si>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</si>
  <si>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</si>
  <si>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</si>
  <si>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</si>
  <si>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</si>
  <si>
    <t>被弾</t>
    <rPh sb="0" eb="2">
      <t>ヒダン</t>
    </rPh>
    <phoneticPr fontId="1"/>
  </si>
  <si>
    <t>追加したい要素</t>
    <rPh sb="0" eb="2">
      <t>ツイカ</t>
    </rPh>
    <rPh sb="5" eb="7">
      <t>ヨウソ</t>
    </rPh>
    <phoneticPr fontId="1"/>
  </si>
  <si>
    <t>敵の怯み(吹き飛ばし)</t>
    <rPh sb="0" eb="1">
      <t>テキ</t>
    </rPh>
    <rPh sb="2" eb="3">
      <t>ヒル</t>
    </rPh>
    <rPh sb="5" eb="6">
      <t>フ</t>
    </rPh>
    <rPh sb="7" eb="8">
      <t>ト</t>
    </rPh>
    <phoneticPr fontId="1"/>
  </si>
  <si>
    <t>ハッキング対象ロックオン</t>
    <rPh sb="5" eb="7">
      <t>タイショウ</t>
    </rPh>
    <phoneticPr fontId="1"/>
  </si>
  <si>
    <t>エイムアシスト</t>
    <phoneticPr fontId="1"/>
  </si>
  <si>
    <t>ギミック</t>
    <phoneticPr fontId="1"/>
  </si>
  <si>
    <t>動くステージオブジェクト</t>
    <rPh sb="0" eb="1">
      <t>ウゴ</t>
    </rPh>
    <phoneticPr fontId="1"/>
  </si>
  <si>
    <t>ハッキングしたら動く</t>
    <rPh sb="8" eb="9">
      <t>ウゴ</t>
    </rPh>
    <phoneticPr fontId="1"/>
  </si>
  <si>
    <t>死亡</t>
    <rPh sb="0" eb="2">
      <t>シボウ</t>
    </rPh>
    <phoneticPr fontId="1"/>
  </si>
  <si>
    <t>ヒットストップ(スロー)</t>
    <phoneticPr fontId="1"/>
  </si>
  <si>
    <t>外部化</t>
    <rPh sb="0" eb="3">
      <t>ガイブカ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</si>
</sst>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  <xf numFmtId="0" fontId="0" fillId="0" borderId="0" xfId="0" applyBorder="1">
      <alignment vertical="center"/>
    </xf>
    <xf numFmtId="0" fontId="0" fillId="0" borderId="9" xfId="0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6"/>
  <sheetViews>
    <sheetView tabSelected="1" topLeftCell="A33" workbookViewId="0">
      <selection activeCell="M46" sqref="M46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SUM(F4:F119)</f>
        <v>247</v>
      </c>
      <c r="L4">
        <f>SUMIFS(G4:G119,H4:H119,"完了")</f>
        <v>70.5</v>
      </c>
      <c r="M4" s="5">
        <f>K4 - L4</f>
        <v>176.5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SUMIFS(F4:F119,E4:E119,"プロト")</f>
        <v>146</v>
      </c>
      <c r="L6">
        <f>SUMIFS(G4:G119,H4:H119,"完了",E4:E119,"プロト")</f>
        <v>70.5</v>
      </c>
      <c r="M6" s="5">
        <f t="shared" ref="M6:M8" si="0">K6 - L6</f>
        <v>75.5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SUMIFS(F4:F119,E4:E119,"アルファ")</f>
        <v>92</v>
      </c>
      <c r="L7">
        <f>SUMIFS(G4:G119,H4:H119,"完了",E4:E119,"アルファ")</f>
        <v>0</v>
      </c>
      <c r="M7" s="5">
        <f t="shared" si="0"/>
        <v>92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SUMIFS(F4:F119,E4:E119,"ベータ")</f>
        <v>9</v>
      </c>
      <c r="L8" s="7">
        <f>SUMIFS(G4:G119,H4:H119,"完了",E4:E119,"ベータ")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  <c r="J10" s="1"/>
      <c r="K10" s="27" t="s">
        <v>176</v>
      </c>
      <c r="L10" s="27" t="s">
        <v>172</v>
      </c>
      <c r="M10" s="28"/>
    </row>
    <row r="11" spans="1:13" x14ac:dyDescent="0.4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  <c r="J11" s="4" t="s">
        <v>88</v>
      </c>
      <c r="K11" s="12">
        <v>46387</v>
      </c>
      <c r="L11">
        <f ca="1">K4 / (DATE(2026,12,31) - TODAY())</f>
        <v>3.9838709677419355</v>
      </c>
      <c r="M11" s="5"/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4" t="s">
        <v>4</v>
      </c>
      <c r="K12" s="12">
        <v>46326</v>
      </c>
      <c r="L12">
        <f ca="1" xml:space="preserve"> (K6 - L6) / (DATE(2026,11,7) - TODAY())</f>
        <v>9.4375</v>
      </c>
      <c r="M12" s="5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5</v>
      </c>
      <c r="K13" s="12">
        <v>46351</v>
      </c>
      <c r="L13">
        <f ca="1" xml:space="preserve"> (K7 - L7) / (DATE(2026,12,2) - TODAY())</f>
        <v>2.7878787878787881</v>
      </c>
      <c r="M13" s="5"/>
    </row>
    <row r="14" spans="1:13" ht="19.5" thickBot="1" x14ac:dyDescent="0.45">
      <c r="A14" s="4"/>
      <c r="B14" t="s">
        <v>35</v>
      </c>
      <c r="D14" s="4" t="s">
        <v>69</v>
      </c>
      <c r="E14" t="s">
        <v>84</v>
      </c>
      <c r="F14">
        <v>1</v>
      </c>
      <c r="G14">
        <v>2</v>
      </c>
      <c r="H14" s="5" t="s">
        <v>175</v>
      </c>
      <c r="J14" s="6" t="s">
        <v>6</v>
      </c>
      <c r="K14" s="26">
        <v>46372</v>
      </c>
      <c r="L14" s="7">
        <f ca="1" xml:space="preserve"> (K8 - L8) / (DATE(2026,12,23) - TODAY())</f>
        <v>0.16666666666666666</v>
      </c>
      <c r="M14" s="8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</row>
    <row r="16" spans="1:13" x14ac:dyDescent="0.4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t="s">
        <v>185</v>
      </c>
      <c r="K16" s="12"/>
    </row>
    <row r="17" spans="1:10" x14ac:dyDescent="0.4">
      <c r="A17" s="4"/>
      <c r="B17" t="s">
        <v>181</v>
      </c>
      <c r="D17" s="4" t="s">
        <v>183</v>
      </c>
      <c r="E17" t="s">
        <v>173</v>
      </c>
      <c r="F17">
        <v>5</v>
      </c>
      <c r="G17">
        <v>2.5</v>
      </c>
      <c r="H17" s="5" t="s">
        <v>175</v>
      </c>
      <c r="J17" t="s">
        <v>186</v>
      </c>
    </row>
    <row r="18" spans="1:10" x14ac:dyDescent="0.4">
      <c r="A18" s="4"/>
      <c r="B18" t="s">
        <v>184</v>
      </c>
      <c r="D18" s="4" t="s">
        <v>183</v>
      </c>
      <c r="E18" t="s">
        <v>173</v>
      </c>
      <c r="F18">
        <v>2</v>
      </c>
      <c r="G18">
        <v>1</v>
      </c>
      <c r="H18" s="5" t="s">
        <v>175</v>
      </c>
      <c r="J18" t="s">
        <v>193</v>
      </c>
    </row>
    <row r="19" spans="1:10" x14ac:dyDescent="0.4">
      <c r="A19" s="4"/>
      <c r="B19" t="s">
        <v>192</v>
      </c>
      <c r="D19" s="4"/>
      <c r="E19" t="s">
        <v>173</v>
      </c>
      <c r="F19">
        <v>2</v>
      </c>
      <c r="G19">
        <v>1</v>
      </c>
      <c r="H19" s="5" t="s">
        <v>175</v>
      </c>
      <c r="J19" t="s">
        <v>187</v>
      </c>
    </row>
    <row r="20" spans="1:10" ht="19.5" thickBot="1" x14ac:dyDescent="0.45">
      <c r="A20" s="6"/>
      <c r="B20" s="7" t="s">
        <v>72</v>
      </c>
      <c r="C20" s="7"/>
      <c r="D20" s="6" t="s">
        <v>81</v>
      </c>
      <c r="E20" s="7" t="s">
        <v>174</v>
      </c>
      <c r="F20" s="7">
        <v>5</v>
      </c>
      <c r="G20" s="7"/>
      <c r="H20" s="8" t="s">
        <v>102</v>
      </c>
      <c r="J20" t="s">
        <v>188</v>
      </c>
    </row>
    <row r="21" spans="1:10" x14ac:dyDescent="0.4">
      <c r="A21" s="4" t="s">
        <v>70</v>
      </c>
      <c r="D21" s="1"/>
      <c r="E21" s="2"/>
      <c r="F21" s="2"/>
      <c r="G21" s="2"/>
      <c r="H21" s="3"/>
    </row>
    <row r="22" spans="1:10" x14ac:dyDescent="0.4">
      <c r="A22" s="4"/>
      <c r="B22" t="s">
        <v>71</v>
      </c>
      <c r="D22" s="4" t="s">
        <v>69</v>
      </c>
      <c r="E22" t="s">
        <v>4</v>
      </c>
      <c r="F22">
        <v>7</v>
      </c>
      <c r="G22">
        <v>4</v>
      </c>
      <c r="H22" s="5" t="s">
        <v>175</v>
      </c>
    </row>
    <row r="23" spans="1:10" ht="19.5" thickBot="1" x14ac:dyDescent="0.45">
      <c r="A23" s="4"/>
      <c r="B23" t="s">
        <v>36</v>
      </c>
      <c r="D23" s="6" t="s">
        <v>69</v>
      </c>
      <c r="E23" s="7" t="s">
        <v>4</v>
      </c>
      <c r="F23" s="7">
        <v>7</v>
      </c>
      <c r="G23" s="7">
        <v>1</v>
      </c>
      <c r="H23" s="8" t="s">
        <v>175</v>
      </c>
    </row>
    <row r="24" spans="1:10" x14ac:dyDescent="0.4">
      <c r="A24" s="1" t="s">
        <v>30</v>
      </c>
      <c r="B24" s="2"/>
      <c r="C24" s="2"/>
      <c r="D24" s="1"/>
      <c r="E24" s="2"/>
      <c r="F24" s="2"/>
      <c r="G24" s="2"/>
      <c r="H24" s="3"/>
    </row>
    <row r="25" spans="1:10" x14ac:dyDescent="0.4">
      <c r="A25" s="4"/>
      <c r="B25" t="s">
        <v>37</v>
      </c>
      <c r="C25" t="s">
        <v>77</v>
      </c>
      <c r="D25" s="4" t="s">
        <v>69</v>
      </c>
      <c r="E25" t="s">
        <v>4</v>
      </c>
      <c r="F25">
        <v>5</v>
      </c>
      <c r="G25">
        <v>4</v>
      </c>
      <c r="H25" s="5" t="s">
        <v>175</v>
      </c>
    </row>
    <row r="26" spans="1:10" x14ac:dyDescent="0.4">
      <c r="A26" s="4"/>
      <c r="B26" t="s">
        <v>33</v>
      </c>
      <c r="D26" s="4" t="s">
        <v>69</v>
      </c>
      <c r="E26" t="s">
        <v>84</v>
      </c>
      <c r="F26">
        <v>5</v>
      </c>
      <c r="G26">
        <v>1</v>
      </c>
      <c r="H26" s="5" t="s">
        <v>175</v>
      </c>
    </row>
    <row r="27" spans="1:10" x14ac:dyDescent="0.4">
      <c r="A27" s="4"/>
      <c r="B27" t="s">
        <v>38</v>
      </c>
      <c r="D27" s="4" t="s">
        <v>69</v>
      </c>
      <c r="E27" t="s">
        <v>84</v>
      </c>
      <c r="F27">
        <v>5</v>
      </c>
      <c r="G27">
        <v>1</v>
      </c>
      <c r="H27" s="5" t="s">
        <v>175</v>
      </c>
    </row>
    <row r="28" spans="1:10" ht="19.5" thickBot="1" x14ac:dyDescent="0.45">
      <c r="A28" s="6"/>
      <c r="B28" s="7" t="s">
        <v>39</v>
      </c>
      <c r="C28" s="7"/>
      <c r="D28" s="6" t="s">
        <v>69</v>
      </c>
      <c r="E28" s="7" t="s">
        <v>174</v>
      </c>
      <c r="F28" s="7">
        <v>5</v>
      </c>
      <c r="G28" s="7"/>
      <c r="H28" s="8" t="s">
        <v>102</v>
      </c>
    </row>
    <row r="29" spans="1:10" x14ac:dyDescent="0.4">
      <c r="A29" s="1" t="s">
        <v>29</v>
      </c>
      <c r="B29" s="2"/>
      <c r="C29" s="2"/>
      <c r="D29" s="1"/>
      <c r="E29" s="2"/>
      <c r="F29" s="2"/>
      <c r="G29" s="2"/>
      <c r="H29" s="3"/>
    </row>
    <row r="30" spans="1:10" x14ac:dyDescent="0.4">
      <c r="A30" s="4"/>
      <c r="B30" t="s">
        <v>74</v>
      </c>
      <c r="D30" s="4" t="s">
        <v>69</v>
      </c>
      <c r="E30" t="s">
        <v>4</v>
      </c>
      <c r="F30">
        <v>4</v>
      </c>
      <c r="G30">
        <v>1</v>
      </c>
      <c r="H30" s="5" t="s">
        <v>175</v>
      </c>
    </row>
    <row r="31" spans="1:10" x14ac:dyDescent="0.4">
      <c r="A31" s="4"/>
      <c r="B31" t="s">
        <v>73</v>
      </c>
      <c r="D31" s="4" t="s">
        <v>69</v>
      </c>
      <c r="E31" t="s">
        <v>84</v>
      </c>
      <c r="F31">
        <v>4</v>
      </c>
      <c r="G31">
        <v>4</v>
      </c>
      <c r="H31" s="5" t="s">
        <v>175</v>
      </c>
    </row>
    <row r="32" spans="1:10" x14ac:dyDescent="0.4">
      <c r="A32" s="4"/>
      <c r="B32" t="s">
        <v>40</v>
      </c>
      <c r="D32" s="4" t="s">
        <v>69</v>
      </c>
      <c r="E32" t="s">
        <v>85</v>
      </c>
      <c r="F32">
        <v>4</v>
      </c>
      <c r="H32" s="5" t="s">
        <v>102</v>
      </c>
    </row>
    <row r="33" spans="1:8" x14ac:dyDescent="0.4">
      <c r="A33" s="4"/>
      <c r="B33" t="s">
        <v>41</v>
      </c>
      <c r="D33" s="4" t="s">
        <v>80</v>
      </c>
      <c r="E33" t="s">
        <v>85</v>
      </c>
      <c r="F33">
        <v>4</v>
      </c>
      <c r="H33" s="5" t="s">
        <v>102</v>
      </c>
    </row>
    <row r="34" spans="1:8" x14ac:dyDescent="0.4">
      <c r="A34" s="4"/>
      <c r="B34" t="s">
        <v>42</v>
      </c>
      <c r="D34" s="4" t="s">
        <v>69</v>
      </c>
      <c r="E34" t="s">
        <v>84</v>
      </c>
      <c r="F34">
        <v>10</v>
      </c>
      <c r="H34" s="5" t="s">
        <v>167</v>
      </c>
    </row>
    <row r="35" spans="1:8" x14ac:dyDescent="0.4">
      <c r="A35" s="4"/>
      <c r="B35" t="s">
        <v>43</v>
      </c>
      <c r="D35" s="4" t="s">
        <v>80</v>
      </c>
      <c r="E35" t="s">
        <v>85</v>
      </c>
      <c r="F35">
        <v>5</v>
      </c>
      <c r="H35" s="5" t="s">
        <v>102</v>
      </c>
    </row>
    <row r="36" spans="1:8" ht="19.5" thickBot="1" x14ac:dyDescent="0.45">
      <c r="A36" s="6"/>
      <c r="B36" s="7" t="s">
        <v>44</v>
      </c>
      <c r="C36" s="7"/>
      <c r="D36" s="6" t="s">
        <v>80</v>
      </c>
      <c r="E36" s="7" t="s">
        <v>85</v>
      </c>
      <c r="F36" s="7">
        <v>5</v>
      </c>
      <c r="G36" s="7"/>
      <c r="H36" s="8" t="s">
        <v>102</v>
      </c>
    </row>
    <row r="37" spans="1:8" x14ac:dyDescent="0.4">
      <c r="A37" s="4" t="s">
        <v>189</v>
      </c>
      <c r="D37" s="4"/>
      <c r="H37" s="5"/>
    </row>
    <row r="38" spans="1:8" ht="19.5" thickBot="1" x14ac:dyDescent="0.45">
      <c r="A38" s="4"/>
      <c r="B38" t="s">
        <v>190</v>
      </c>
      <c r="C38" t="s">
        <v>191</v>
      </c>
      <c r="D38" s="4" t="s">
        <v>183</v>
      </c>
      <c r="E38" t="s">
        <v>173</v>
      </c>
      <c r="F38">
        <v>5</v>
      </c>
      <c r="H38" s="5" t="s">
        <v>102</v>
      </c>
    </row>
    <row r="39" spans="1:8" ht="19.5" thickBot="1" x14ac:dyDescent="0.45">
      <c r="A39" s="1" t="s">
        <v>45</v>
      </c>
      <c r="B39" s="2"/>
      <c r="C39" s="2"/>
      <c r="D39" s="1"/>
      <c r="E39" s="2"/>
      <c r="F39" s="2"/>
      <c r="G39" s="2"/>
      <c r="H39" s="3"/>
    </row>
    <row r="40" spans="1:8" x14ac:dyDescent="0.4">
      <c r="A40" s="1"/>
      <c r="B40" s="2" t="s">
        <v>51</v>
      </c>
      <c r="C40" s="2"/>
      <c r="D40" s="1" t="s">
        <v>69</v>
      </c>
      <c r="E40" s="2" t="s">
        <v>4</v>
      </c>
      <c r="F40" s="2">
        <v>10</v>
      </c>
      <c r="G40" s="2"/>
      <c r="H40" s="3" t="s">
        <v>102</v>
      </c>
    </row>
    <row r="41" spans="1:8" x14ac:dyDescent="0.4">
      <c r="A41" s="4"/>
      <c r="B41" s="33" t="s">
        <v>52</v>
      </c>
      <c r="C41" s="33"/>
      <c r="D41" s="4" t="s">
        <v>80</v>
      </c>
      <c r="E41" s="33" t="s">
        <v>85</v>
      </c>
      <c r="F41" s="33">
        <v>10</v>
      </c>
      <c r="G41" s="33"/>
      <c r="H41" s="5" t="s">
        <v>102</v>
      </c>
    </row>
    <row r="42" spans="1:8" x14ac:dyDescent="0.4">
      <c r="A42" s="4"/>
      <c r="B42" s="33" t="s">
        <v>53</v>
      </c>
      <c r="C42" s="33"/>
      <c r="D42" s="4" t="s">
        <v>80</v>
      </c>
      <c r="E42" s="33" t="s">
        <v>85</v>
      </c>
      <c r="F42" s="33">
        <v>10</v>
      </c>
      <c r="G42" s="33"/>
      <c r="H42" s="5" t="s">
        <v>102</v>
      </c>
    </row>
    <row r="43" spans="1:8" ht="19.5" thickBot="1" x14ac:dyDescent="0.45">
      <c r="A43" s="6"/>
      <c r="B43" s="34" t="s">
        <v>194</v>
      </c>
      <c r="C43" s="7"/>
      <c r="D43" s="6" t="s">
        <v>178</v>
      </c>
      <c r="E43" s="34" t="s">
        <v>174</v>
      </c>
      <c r="F43" s="34">
        <v>10</v>
      </c>
      <c r="G43" s="7"/>
      <c r="H43" s="8" t="s">
        <v>102</v>
      </c>
    </row>
    <row r="44" spans="1:8" x14ac:dyDescent="0.4">
      <c r="A44" s="4" t="s">
        <v>165</v>
      </c>
      <c r="B44" s="33"/>
      <c r="C44" s="33"/>
      <c r="D44" s="4"/>
      <c r="E44" s="33"/>
      <c r="F44" s="33"/>
      <c r="G44" s="33"/>
      <c r="H44" s="5"/>
    </row>
    <row r="45" spans="1:8" x14ac:dyDescent="0.4">
      <c r="A45" s="4"/>
      <c r="B45" t="s">
        <v>56</v>
      </c>
      <c r="C45" t="s">
        <v>166</v>
      </c>
      <c r="D45" s="4" t="s">
        <v>69</v>
      </c>
      <c r="E45" t="s">
        <v>4</v>
      </c>
      <c r="F45">
        <v>5</v>
      </c>
      <c r="G45">
        <v>8</v>
      </c>
      <c r="H45" s="5" t="s">
        <v>175</v>
      </c>
    </row>
    <row r="46" spans="1:8" ht="19.5" thickBot="1" x14ac:dyDescent="0.45">
      <c r="A46" s="6"/>
      <c r="B46" s="7" t="s">
        <v>179</v>
      </c>
      <c r="C46" s="7" t="s">
        <v>180</v>
      </c>
      <c r="D46" s="6" t="s">
        <v>178</v>
      </c>
      <c r="E46" s="7" t="s">
        <v>173</v>
      </c>
      <c r="F46" s="7">
        <v>5</v>
      </c>
      <c r="G46" s="7">
        <v>3</v>
      </c>
      <c r="H46" s="8" t="s">
        <v>175</v>
      </c>
    </row>
    <row r="47" spans="1:8" ht="19.5" thickBot="1" x14ac:dyDescent="0.45">
      <c r="A47" s="6" t="s">
        <v>46</v>
      </c>
      <c r="B47" s="7"/>
      <c r="C47" s="8"/>
      <c r="D47" s="4" t="s">
        <v>69</v>
      </c>
      <c r="E47" t="s">
        <v>84</v>
      </c>
      <c r="F47">
        <v>15</v>
      </c>
      <c r="G47">
        <v>10</v>
      </c>
      <c r="H47" s="5" t="s">
        <v>175</v>
      </c>
    </row>
    <row r="48" spans="1:8" x14ac:dyDescent="0.4">
      <c r="A48" s="1" t="s">
        <v>54</v>
      </c>
      <c r="B48" s="2"/>
      <c r="C48" s="2"/>
      <c r="D48" s="1"/>
      <c r="E48" s="2"/>
      <c r="F48" s="2"/>
      <c r="G48" s="2"/>
      <c r="H48" s="3"/>
    </row>
    <row r="49" spans="1:8" x14ac:dyDescent="0.4">
      <c r="A49" s="4"/>
      <c r="B49" t="s">
        <v>55</v>
      </c>
      <c r="D49" s="4" t="s">
        <v>69</v>
      </c>
      <c r="E49" t="s">
        <v>174</v>
      </c>
      <c r="F49">
        <v>5</v>
      </c>
      <c r="H49" s="5" t="s">
        <v>167</v>
      </c>
    </row>
    <row r="50" spans="1:8" x14ac:dyDescent="0.4">
      <c r="A50" s="4"/>
      <c r="B50" t="s">
        <v>56</v>
      </c>
      <c r="D50" s="4" t="s">
        <v>69</v>
      </c>
      <c r="E50" t="s">
        <v>174</v>
      </c>
      <c r="F50">
        <v>5</v>
      </c>
      <c r="H50" s="5" t="s">
        <v>167</v>
      </c>
    </row>
    <row r="51" spans="1:8" x14ac:dyDescent="0.4">
      <c r="A51" s="4"/>
      <c r="B51" t="s">
        <v>57</v>
      </c>
      <c r="D51" s="4" t="s">
        <v>69</v>
      </c>
      <c r="E51" t="s">
        <v>85</v>
      </c>
      <c r="F51">
        <v>5</v>
      </c>
      <c r="H51" s="5" t="s">
        <v>102</v>
      </c>
    </row>
    <row r="52" spans="1:8" ht="19.5" thickBot="1" x14ac:dyDescent="0.45">
      <c r="A52" s="6"/>
      <c r="B52" s="7" t="s">
        <v>58</v>
      </c>
      <c r="C52" s="7"/>
      <c r="D52" s="6" t="s">
        <v>69</v>
      </c>
      <c r="E52" s="7" t="s">
        <v>86</v>
      </c>
      <c r="F52" s="7">
        <v>5</v>
      </c>
      <c r="G52" s="7"/>
      <c r="H52" s="8" t="s">
        <v>102</v>
      </c>
    </row>
    <row r="53" spans="1:8" x14ac:dyDescent="0.4">
      <c r="A53" s="30" t="s">
        <v>61</v>
      </c>
      <c r="B53" s="31"/>
      <c r="C53" s="31"/>
      <c r="D53" s="1"/>
      <c r="E53" s="2"/>
      <c r="F53" s="2"/>
      <c r="G53" s="2"/>
      <c r="H53" s="3"/>
    </row>
    <row r="54" spans="1:8" x14ac:dyDescent="0.4">
      <c r="A54" s="4"/>
      <c r="B54" t="s">
        <v>78</v>
      </c>
      <c r="D54" s="4" t="s">
        <v>69</v>
      </c>
      <c r="E54" t="s">
        <v>5</v>
      </c>
      <c r="F54">
        <v>2</v>
      </c>
      <c r="H54" s="5" t="s">
        <v>102</v>
      </c>
    </row>
    <row r="55" spans="1:8" x14ac:dyDescent="0.4">
      <c r="A55" s="4"/>
      <c r="B55" t="s">
        <v>83</v>
      </c>
      <c r="D55" s="4" t="s">
        <v>69</v>
      </c>
      <c r="E55" t="s">
        <v>85</v>
      </c>
      <c r="F55">
        <v>4</v>
      </c>
      <c r="H55" s="5" t="s">
        <v>102</v>
      </c>
    </row>
    <row r="56" spans="1:8" x14ac:dyDescent="0.4">
      <c r="A56" s="4"/>
      <c r="B56" t="s">
        <v>79</v>
      </c>
      <c r="D56" s="4" t="s">
        <v>69</v>
      </c>
      <c r="E56" t="s">
        <v>85</v>
      </c>
      <c r="F56">
        <v>2</v>
      </c>
      <c r="H56" s="5" t="s">
        <v>102</v>
      </c>
    </row>
    <row r="57" spans="1:8" ht="19.5" thickBot="1" x14ac:dyDescent="0.45">
      <c r="A57" s="6"/>
      <c r="B57" s="7" t="s">
        <v>82</v>
      </c>
      <c r="C57" s="7"/>
      <c r="D57" s="6" t="s">
        <v>69</v>
      </c>
      <c r="E57" s="7" t="s">
        <v>86</v>
      </c>
      <c r="F57" s="7">
        <v>4</v>
      </c>
      <c r="G57" s="7"/>
      <c r="H57" s="8" t="s">
        <v>102</v>
      </c>
    </row>
    <row r="58" spans="1:8" x14ac:dyDescent="0.4">
      <c r="A58" s="32" t="s">
        <v>90</v>
      </c>
      <c r="B58" s="31"/>
      <c r="C58" s="31"/>
      <c r="D58" s="1"/>
      <c r="E58" s="2"/>
      <c r="F58" s="2"/>
      <c r="G58" s="2"/>
      <c r="H58" s="3"/>
    </row>
    <row r="59" spans="1:8" x14ac:dyDescent="0.4">
      <c r="A59" s="4"/>
      <c r="B59" t="s">
        <v>47</v>
      </c>
      <c r="D59" s="4" t="s">
        <v>69</v>
      </c>
      <c r="E59" t="s">
        <v>4</v>
      </c>
      <c r="F59">
        <v>3</v>
      </c>
      <c r="G59">
        <v>2</v>
      </c>
      <c r="H59" s="5" t="s">
        <v>175</v>
      </c>
    </row>
    <row r="60" spans="1:8" x14ac:dyDescent="0.4">
      <c r="A60" s="4"/>
      <c r="B60" t="s">
        <v>91</v>
      </c>
      <c r="D60" s="4" t="s">
        <v>98</v>
      </c>
      <c r="E60" t="s">
        <v>4</v>
      </c>
      <c r="F60">
        <v>5</v>
      </c>
      <c r="G60">
        <v>2</v>
      </c>
      <c r="H60" s="5" t="s">
        <v>175</v>
      </c>
    </row>
    <row r="61" spans="1:8" x14ac:dyDescent="0.4">
      <c r="A61" s="4"/>
      <c r="B61" t="s">
        <v>92</v>
      </c>
      <c r="D61" s="4" t="s">
        <v>98</v>
      </c>
      <c r="E61" t="s">
        <v>173</v>
      </c>
      <c r="F61">
        <v>3</v>
      </c>
      <c r="G61">
        <v>1</v>
      </c>
      <c r="H61" s="5" t="s">
        <v>175</v>
      </c>
    </row>
    <row r="62" spans="1:8" x14ac:dyDescent="0.4">
      <c r="A62" s="4"/>
      <c r="B62" t="s">
        <v>94</v>
      </c>
      <c r="D62" s="4" t="s">
        <v>98</v>
      </c>
      <c r="E62" t="s">
        <v>173</v>
      </c>
      <c r="F62">
        <v>3</v>
      </c>
      <c r="G62">
        <v>1</v>
      </c>
      <c r="H62" s="5" t="s">
        <v>175</v>
      </c>
    </row>
    <row r="63" spans="1:8" x14ac:dyDescent="0.4">
      <c r="A63" s="4"/>
      <c r="B63" t="s">
        <v>95</v>
      </c>
      <c r="D63" s="4" t="s">
        <v>98</v>
      </c>
      <c r="E63" t="s">
        <v>173</v>
      </c>
      <c r="F63">
        <v>3</v>
      </c>
      <c r="G63">
        <v>1</v>
      </c>
      <c r="H63" s="5" t="s">
        <v>175</v>
      </c>
    </row>
    <row r="64" spans="1:8" x14ac:dyDescent="0.4">
      <c r="A64" s="4"/>
      <c r="B64" t="s">
        <v>93</v>
      </c>
      <c r="D64" s="4" t="s">
        <v>98</v>
      </c>
      <c r="E64" t="s">
        <v>5</v>
      </c>
      <c r="F64">
        <v>3</v>
      </c>
      <c r="H64" s="5" t="s">
        <v>102</v>
      </c>
    </row>
    <row r="65" spans="1:8" x14ac:dyDescent="0.4">
      <c r="A65" s="4"/>
      <c r="B65" t="s">
        <v>96</v>
      </c>
      <c r="D65" s="4" t="s">
        <v>98</v>
      </c>
      <c r="E65" t="s">
        <v>5</v>
      </c>
      <c r="F65">
        <v>3</v>
      </c>
      <c r="H65" s="5" t="s">
        <v>102</v>
      </c>
    </row>
    <row r="66" spans="1:8" ht="19.5" thickBot="1" x14ac:dyDescent="0.45">
      <c r="A66" s="6"/>
      <c r="B66" s="7" t="s">
        <v>97</v>
      </c>
      <c r="C66" s="7"/>
      <c r="D66" s="6" t="s">
        <v>99</v>
      </c>
      <c r="E66" s="7" t="s">
        <v>5</v>
      </c>
      <c r="F66" s="7">
        <v>5</v>
      </c>
      <c r="G66" s="7"/>
      <c r="H66" s="8" t="s">
        <v>102</v>
      </c>
    </row>
  </sheetData>
  <autoFilter ref="A3:H67" xr:uid="{00000000-0009-0000-0000-000000000000}"/>
  <phoneticPr fontId="1"/>
  <conditionalFormatting sqref="A68:C119 A4:C66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68:D119 D4:D66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68:E119 E4:E66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68:H119 H4:H66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8:H119 H4:H66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8:D119 D4:D66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8:E119 E4:E66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topLeftCell="A4" workbookViewId="0">
      <selection activeCell="K13" sqref="K13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DATE(2026,12,31) - TODAY()</f>
        <v>62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DATE(2026,11,7) - TODAY()</f>
        <v>8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DATE(2026,12,2) - TODAY()</f>
        <v>33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DATE(2026,12,23) - TODAY()</f>
        <v>54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19">
        <v>1</v>
      </c>
      <c r="C17" s="19">
        <v>2</v>
      </c>
      <c r="D17" s="19">
        <v>3</v>
      </c>
      <c r="E17" s="19">
        <v>4</v>
      </c>
      <c r="F17" s="19">
        <v>5</v>
      </c>
      <c r="G17" s="19">
        <v>6</v>
      </c>
      <c r="H17" s="19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2">
        <v>26</v>
      </c>
      <c r="G20" s="22">
        <v>27</v>
      </c>
      <c r="H20" s="22">
        <v>28</v>
      </c>
    </row>
    <row r="21" spans="2:8" x14ac:dyDescent="0.4">
      <c r="B21" s="22">
        <v>29</v>
      </c>
      <c r="C21" s="22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2">
        <v>1</v>
      </c>
      <c r="E24" s="22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3">
        <v>17</v>
      </c>
      <c r="G26" s="23">
        <v>18</v>
      </c>
      <c r="H26" s="23">
        <v>19</v>
      </c>
    </row>
    <row r="27" spans="2:8" x14ac:dyDescent="0.4">
      <c r="B27" s="23">
        <v>20</v>
      </c>
      <c r="C27" s="23">
        <v>21</v>
      </c>
      <c r="D27" s="23">
        <v>22</v>
      </c>
      <c r="E27" s="23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>
      <selection activeCell="P18" sqref="P18"/>
    </sheetView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G15" sqref="G15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2026-10-30T06:41:41Z</dcterms:modified>
</cp:coreProperties>
</file>