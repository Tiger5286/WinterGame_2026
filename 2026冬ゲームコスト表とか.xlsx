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6\"/>
    </mc:Choice>
  </mc:AlternateContent>
  <xr:revisionPtr revIDLastSave="0" documentId="13_ncr:1_{533FB2A6-93BB-439B-A3CC-8D855BFC2382}" xr6:coauthVersionLast="47" xr6:coauthVersionMax="47" xr10:uidLastSave="{00000000-0000-0000-0000-000000000000}"/>
  <bookViews>
    <workbookView xWindow="-23160" yWindow="1365" windowWidth="21600" windowHeight="13440" activeTab="5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2" l="1"/>
  <c r="K11" i="2"/>
  <c r="K10" i="2"/>
  <c r="L7" i="3"/>
  <c r="L6" i="3"/>
  <c r="L5" i="3"/>
  <c r="L4" i="3"/>
  <c r="K7" i="3"/>
  <c r="K6" i="3"/>
  <c r="K5" i="3"/>
  <c r="K4" i="3"/>
  <c r="K9" i="2"/>
  <c r="M6" i="3" l="1"/>
  <c r="M5" i="3"/>
  <c r="M4" i="3"/>
  <c r="M7" i="3"/>
</calcChain>
</file>

<file path=xl/sharedStrings.xml><?xml version="1.0" encoding="utf-8"?>
<sst xmlns="http://schemas.openxmlformats.org/spreadsheetml/2006/main" count="312" uniqueCount="175">
  <si>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</si>
  <si>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</si>
  <si>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</si>
  <si>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</si>
  <si>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</si>
  <si>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</si>
  <si>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</si>
  <si>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</si>
  <si>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</si>
  <si>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</si>
  <si>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</si>
  <si>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</si>
  <si>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</si>
  <si>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</si>
  <si>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</si>
  <si>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</si>
  <si>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</si>
  <si>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</si>
  <si>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</si>
  <si>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</si>
  <si>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</si>
  <si>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</si>
  <si>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</si>
  <si>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</si>
  <si>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</si>
  <si>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</si>
  <si>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</si>
  <si>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</si>
  <si>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</si>
  <si>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</si>
  <si>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</si>
  <si>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</si>
  <si>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</si>
  <si>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</si>
  <si>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</si>
  <si>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</si>
  <si>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</si>
  <si>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</si>
  <si>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</si>
  <si>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</si>
  <si>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</si>
  <si>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</si>
  <si>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</si>
  <si>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</si>
  <si>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</si>
  <si>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</si>
  <si>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</si>
  <si>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</si>
  <si>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</si>
  <si>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</si>
  <si>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</si>
  <si>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</si>
  <si>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</si>
  <si>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</si>
  <si>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</si>
  <si>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</si>
  <si>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</si>
  <si>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</si>
  <si>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</si>
  <si>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</si>
  <si>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</si>
  <si>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</si>
  <si>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</si>
  <si>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</si>
  <si>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</si>
  <si>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</si>
  <si>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</si>
  <si>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</si>
  <si>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</si>
  <si>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</si>
  <si>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</si>
  <si>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</si>
  <si>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</si>
  <si>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</si>
  <si>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</si>
  <si>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</si>
  <si>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</si>
  <si>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</si>
  <si>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</si>
  <si>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</si>
  <si>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</si>
  <si>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</si>
  <si>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</si>
  <si>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</si>
  <si>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</si>
  <si>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</si>
  <si>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</si>
  <si>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</si>
  <si>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</si>
  <si>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</si>
  <si>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</si>
  <si>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</si>
  <si>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</si>
  <si>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</si>
  <si>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</si>
  <si>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</si>
  <si>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</si>
  <si>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</si>
  <si>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</si>
  <si>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</si>
  <si>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</si>
  <si>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</si>
  <si>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</si>
  <si>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</si>
  <si>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</si>
  <si>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</si>
  <si>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</si>
  <si>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</si>
  <si>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</si>
  <si>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</si>
  <si>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</si>
  <si>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</si>
  <si>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</si>
  <si>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</si>
  <si>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</si>
  <si>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</si>
  <si>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</si>
  <si>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</si>
  <si>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</si>
  <si>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</si>
  <si>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</si>
  <si>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</si>
  <si>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</si>
  <si>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</si>
  <si>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</si>
  <si>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</si>
  <si>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</si>
  <si>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</si>
  <si>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</si>
  <si>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</si>
  <si>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</si>
  <si>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</si>
  <si>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</si>
  <si>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</si>
  <si>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</si>
  <si>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</si>
  <si>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</si>
  <si>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</si>
  <si>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</si>
  <si>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</si>
  <si>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</si>
  <si>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</si>
  <si>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</si>
  <si>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</si>
  <si>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</si>
  <si>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</si>
  <si>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</si>
  <si>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</si>
  <si>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</si>
  <si>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</si>
  <si>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</si>
  <si>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</si>
  <si>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</si>
  <si>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</si>
  <si>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</si>
  <si>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</si>
  <si>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</si>
  <si>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</si>
  <si>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</si>
  <si>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</si>
  <si>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</si>
  <si>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</si>
  <si>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</si>
  <si>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</si>
  <si>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</si>
  <si>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</si>
  <si>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プロト</t>
    <phoneticPr fontId="1"/>
  </si>
  <si>
    <t>アルファ</t>
    <phoneticPr fontId="1"/>
  </si>
  <si>
    <t>ベータ</t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</si>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</sst>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E13" sqref="E13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97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  <c r="J10" t="s">
        <v>166</v>
      </c>
      <c r="K10">
        <f ca="1" xml:space="preserve"> DATE(2026,10,21) - TODAY()</f>
        <v>26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  <c r="J11" t="s">
        <v>167</v>
      </c>
      <c r="K11">
        <f ca="1" xml:space="preserve"> DATE(2026,11,18) - TODAY()</f>
        <v>54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  <c r="J12" t="s">
        <v>168</v>
      </c>
      <c r="K12">
        <f ca="1" xml:space="preserve"> DATE(2026,12,16) - TODAY()</f>
        <v>82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topLeftCell="A18" workbookViewId="0">
      <selection activeCell="C40" sqref="C40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SUM(F4:F102)</f>
        <v>212</v>
      </c>
      <c r="L4">
        <f>SUMIFS(G4:G102,H4:H102,"完了")</f>
        <v>0</v>
      </c>
      <c r="M4">
        <f>K4 - L4</f>
        <v>212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SUMIFS(F4:F102,E4:E102,"プロト")</f>
        <v>132</v>
      </c>
      <c r="L5">
        <f>SUMIFS(G4:G102,H4:H102,"完了",E4:E102,"プロト")</f>
        <v>0</v>
      </c>
      <c r="M5">
        <f t="shared" ref="M5:M7" si="0">K5 - L5</f>
        <v>132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SUMIFS(F4:F102,E4:E102,"アルファ")</f>
        <v>71</v>
      </c>
      <c r="L6">
        <f>SUMIFS(G4:G102,H4:H102,"完了",E4:E102,"アルファ")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18" t="s">
        <v>170</v>
      </c>
      <c r="B32" s="19" t="s">
        <v>56</v>
      </c>
      <c r="C32" s="20" t="s">
        <v>171</v>
      </c>
      <c r="D32" s="18" t="s">
        <v>172</v>
      </c>
      <c r="E32" s="19" t="s">
        <v>4</v>
      </c>
      <c r="F32" s="19">
        <v>5</v>
      </c>
      <c r="G32" s="19"/>
      <c r="H32" s="20" t="s">
        <v>173</v>
      </c>
    </row>
    <row r="33" spans="1:8" ht="19.5" thickBot="1" x14ac:dyDescent="0.45">
      <c r="A33" s="18"/>
      <c r="B33" s="19"/>
      <c r="C33" s="20"/>
      <c r="D33" s="18"/>
      <c r="E33" s="19"/>
      <c r="F33" s="19"/>
      <c r="G33" s="19"/>
      <c r="H33" s="20"/>
    </row>
    <row r="34" spans="1:8" ht="19.5" thickBot="1" x14ac:dyDescent="0.45">
      <c r="A34" s="21" t="s">
        <v>46</v>
      </c>
      <c r="B34" s="22"/>
      <c r="C34" s="23"/>
      <c r="D34" s="21" t="s">
        <v>69</v>
      </c>
      <c r="E34" s="22" t="s">
        <v>85</v>
      </c>
      <c r="F34" s="22">
        <v>15</v>
      </c>
      <c r="G34" s="22"/>
      <c r="H34" s="23" t="s">
        <v>104</v>
      </c>
    </row>
    <row r="35" spans="1:8" x14ac:dyDescent="0.4">
      <c r="A35" s="13" t="s">
        <v>54</v>
      </c>
      <c r="B35" s="14" t="s">
        <v>55</v>
      </c>
      <c r="C35" s="15"/>
      <c r="D35" s="13" t="s">
        <v>69</v>
      </c>
      <c r="E35" s="14" t="s">
        <v>85</v>
      </c>
      <c r="F35" s="14">
        <v>5</v>
      </c>
      <c r="G35" s="14"/>
      <c r="H35" s="15" t="s">
        <v>104</v>
      </c>
    </row>
    <row r="36" spans="1:8" x14ac:dyDescent="0.4">
      <c r="A36" s="16"/>
      <c r="B36" t="s">
        <v>56</v>
      </c>
      <c r="C36" s="17"/>
      <c r="D36" s="16" t="s">
        <v>69</v>
      </c>
      <c r="E36" t="s">
        <v>85</v>
      </c>
      <c r="F36">
        <v>5</v>
      </c>
      <c r="H36" s="17" t="s">
        <v>104</v>
      </c>
    </row>
    <row r="37" spans="1:8" x14ac:dyDescent="0.4">
      <c r="A37" s="16"/>
      <c r="B37" t="s">
        <v>57</v>
      </c>
      <c r="C37" s="17"/>
      <c r="D37" s="16" t="s">
        <v>69</v>
      </c>
      <c r="E37" t="s">
        <v>86</v>
      </c>
      <c r="F37">
        <v>5</v>
      </c>
      <c r="H37" s="17" t="s">
        <v>104</v>
      </c>
    </row>
    <row r="38" spans="1:8" ht="19.5" thickBot="1" x14ac:dyDescent="0.45">
      <c r="A38" s="18"/>
      <c r="B38" s="19" t="s">
        <v>58</v>
      </c>
      <c r="C38" s="20"/>
      <c r="D38" s="18" t="s">
        <v>69</v>
      </c>
      <c r="E38" s="19" t="s">
        <v>87</v>
      </c>
      <c r="F38" s="19">
        <v>5</v>
      </c>
      <c r="G38" s="19"/>
      <c r="H38" s="20" t="s">
        <v>104</v>
      </c>
    </row>
    <row r="39" spans="1:8" x14ac:dyDescent="0.4">
      <c r="A39" s="13" t="s">
        <v>61</v>
      </c>
      <c r="B39" s="14" t="s">
        <v>79</v>
      </c>
      <c r="C39" s="15"/>
      <c r="D39" s="13" t="s">
        <v>69</v>
      </c>
      <c r="E39" s="14" t="s">
        <v>86</v>
      </c>
      <c r="F39" s="14">
        <v>2</v>
      </c>
      <c r="G39" s="14"/>
      <c r="H39" s="15" t="s">
        <v>104</v>
      </c>
    </row>
    <row r="40" spans="1:8" x14ac:dyDescent="0.4">
      <c r="A40" s="16"/>
      <c r="B40" t="s">
        <v>84</v>
      </c>
      <c r="C40" s="17"/>
      <c r="D40" s="16" t="s">
        <v>69</v>
      </c>
      <c r="E40" t="s">
        <v>86</v>
      </c>
      <c r="F40">
        <v>4</v>
      </c>
      <c r="H40" s="17" t="s">
        <v>104</v>
      </c>
    </row>
    <row r="41" spans="1:8" x14ac:dyDescent="0.4">
      <c r="A41" s="16"/>
      <c r="B41" t="s">
        <v>80</v>
      </c>
      <c r="C41" s="17"/>
      <c r="D41" s="16" t="s">
        <v>69</v>
      </c>
      <c r="E41" t="s">
        <v>86</v>
      </c>
      <c r="F41">
        <v>2</v>
      </c>
      <c r="H41" s="17" t="s">
        <v>104</v>
      </c>
    </row>
    <row r="42" spans="1:8" ht="19.5" thickBot="1" x14ac:dyDescent="0.45">
      <c r="A42" s="18"/>
      <c r="B42" s="19" t="s">
        <v>83</v>
      </c>
      <c r="C42" s="20"/>
      <c r="D42" s="18" t="s">
        <v>69</v>
      </c>
      <c r="E42" s="19" t="s">
        <v>87</v>
      </c>
      <c r="F42" s="19">
        <v>4</v>
      </c>
      <c r="G42" s="19"/>
      <c r="H42" s="20" t="s">
        <v>104</v>
      </c>
    </row>
    <row r="43" spans="1:8" x14ac:dyDescent="0.4">
      <c r="A43" s="13" t="s">
        <v>91</v>
      </c>
      <c r="B43" s="14" t="s">
        <v>92</v>
      </c>
      <c r="C43" s="15"/>
      <c r="D43" s="13" t="s">
        <v>100</v>
      </c>
      <c r="E43" s="14" t="s">
        <v>4</v>
      </c>
      <c r="F43" s="14">
        <v>3</v>
      </c>
      <c r="G43" s="14"/>
      <c r="H43" s="15" t="s">
        <v>104</v>
      </c>
    </row>
    <row r="44" spans="1:8" x14ac:dyDescent="0.4">
      <c r="A44" s="16"/>
      <c r="B44" t="s">
        <v>93</v>
      </c>
      <c r="C44" s="17"/>
      <c r="D44" s="16" t="s">
        <v>100</v>
      </c>
      <c r="E44" t="s">
        <v>4</v>
      </c>
      <c r="F44">
        <v>5</v>
      </c>
      <c r="H44" s="17" t="s">
        <v>104</v>
      </c>
    </row>
    <row r="45" spans="1:8" x14ac:dyDescent="0.4">
      <c r="A45" s="16"/>
      <c r="B45" t="s">
        <v>94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96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97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x14ac:dyDescent="0.4">
      <c r="A48" s="16"/>
      <c r="B48" t="s">
        <v>95</v>
      </c>
      <c r="C48" s="17"/>
      <c r="D48" s="16" t="s">
        <v>100</v>
      </c>
      <c r="E48" t="s">
        <v>5</v>
      </c>
      <c r="F48">
        <v>3</v>
      </c>
      <c r="H48" s="17" t="s">
        <v>104</v>
      </c>
    </row>
    <row r="49" spans="1:8" x14ac:dyDescent="0.4">
      <c r="A49" s="16"/>
      <c r="B49" t="s">
        <v>98</v>
      </c>
      <c r="C49" s="17"/>
      <c r="D49" s="16" t="s">
        <v>100</v>
      </c>
      <c r="E49" t="s">
        <v>5</v>
      </c>
      <c r="F49">
        <v>3</v>
      </c>
      <c r="H49" s="17" t="s">
        <v>104</v>
      </c>
    </row>
    <row r="50" spans="1:8" ht="19.5" thickBot="1" x14ac:dyDescent="0.45">
      <c r="A50" s="18"/>
      <c r="B50" s="19" t="s">
        <v>99</v>
      </c>
      <c r="C50" s="20"/>
      <c r="D50" s="18" t="s">
        <v>101</v>
      </c>
      <c r="E50" s="19" t="s">
        <v>5</v>
      </c>
      <c r="F50" s="19">
        <v>5</v>
      </c>
      <c r="G50" s="19"/>
      <c r="H50" s="20" t="s">
        <v>104</v>
      </c>
    </row>
  </sheetData>
  <phoneticPr fontId="1"/>
  <dataValidations count="1">
    <dataValidation type="list" allowBlank="1" showInputMessage="1" showErrorMessage="1" sqref="H4:H102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tabSelected="1" workbookViewId="0">
      <selection activeCell="N8" sqref="N8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24">
        <v>46289</v>
      </c>
      <c r="B2" t="s">
        <v>169</v>
      </c>
    </row>
    <row r="3" spans="1:2" x14ac:dyDescent="0.4">
      <c r="A3" s="24">
        <v>46290</v>
      </c>
      <c r="B3" t="s">
        <v>174</v>
      </c>
    </row>
    <row r="4" spans="1:2" x14ac:dyDescent="0.4">
      <c r="A4" s="24">
        <v>46291</v>
      </c>
    </row>
    <row r="5" spans="1:2" x14ac:dyDescent="0.4">
      <c r="A5" s="24">
        <v>46292</v>
      </c>
    </row>
    <row r="6" spans="1:2" x14ac:dyDescent="0.4">
      <c r="A6" s="24">
        <v>46293</v>
      </c>
    </row>
    <row r="7" spans="1:2" x14ac:dyDescent="0.4">
      <c r="A7" s="24">
        <v>46294</v>
      </c>
    </row>
    <row r="8" spans="1:2" x14ac:dyDescent="0.4">
      <c r="A8" s="24">
        <v>46295</v>
      </c>
    </row>
    <row r="9" spans="1:2" x14ac:dyDescent="0.4">
      <c r="A9" s="24">
        <v>46296</v>
      </c>
    </row>
    <row r="10" spans="1:2" x14ac:dyDescent="0.4">
      <c r="A10" s="24">
        <v>46297</v>
      </c>
    </row>
    <row r="11" spans="1:2" x14ac:dyDescent="0.4">
      <c r="A11" s="24">
        <v>46298</v>
      </c>
    </row>
    <row r="12" spans="1:2" x14ac:dyDescent="0.4">
      <c r="A12" s="24">
        <v>46299</v>
      </c>
    </row>
    <row r="13" spans="1:2" x14ac:dyDescent="0.4">
      <c r="A13" s="24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カレンダー</vt:lpstr>
      <vt:lpstr>コスト表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2026-09-25T09:56:27Z</dcterms:modified>
</cp:coreProperties>
</file>