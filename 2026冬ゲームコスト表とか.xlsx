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D10304BF-8997-42C7-829E-FBEDDAD1AA3E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クラス設計" sheetId="7" r:id="rId2"/>
    <sheet name="ゲーム基盤システム設計" sheetId="8" r:id="rId3"/>
    <sheet name="仕様とか洗い出し" sheetId="1" r:id="rId4"/>
    <sheet name="進捗日記" sheetId="9" r:id="rId5"/>
    <sheet name="カレンダー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0" l="1"/>
  <c r="K11" i="10"/>
  <c r="K10" i="10"/>
  <c r="K9" i="10"/>
  <c r="L7" i="3"/>
  <c r="L6" i="3"/>
  <c r="L5" i="3"/>
  <c r="L4" i="3"/>
  <c r="K7" i="3"/>
  <c r="K6" i="3"/>
  <c r="K5" i="3"/>
  <c r="K4" i="3"/>
  <c r="M6" i="3" l="1"/>
  <c r="M5" i="3"/>
  <c r="M4" i="3"/>
  <c r="M7" i="3"/>
</calcChain>
</file>

<file path=xl/sharedStrings.xml><?xml version="1.0" encoding="utf-8"?>
<sst xmlns="http://schemas.openxmlformats.org/spreadsheetml/2006/main" count="315" uniqueCount="175">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</sst>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tabSelected="1" workbookViewId="0">
      <selection activeCell="C40" sqref="C4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76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K3" t="s">
        <v>88</v>
      </c>
      <c r="L3" t="s">
        <v>103</v>
      </c>
      <c r="M3" t="s">
        <v>102</v>
      </c>
    </row>
    <row r="4" spans="1:13" x14ac:dyDescent="0.4">
      <c r="A4" s="1" t="s">
        <v>31</v>
      </c>
      <c r="B4" s="2" t="s">
        <v>47</v>
      </c>
      <c r="C4" s="2"/>
      <c r="D4" s="1" t="s">
        <v>69</v>
      </c>
      <c r="E4" s="2" t="s">
        <v>85</v>
      </c>
      <c r="F4" s="2">
        <v>3</v>
      </c>
      <c r="G4" s="2"/>
      <c r="H4" s="3" t="s">
        <v>104</v>
      </c>
      <c r="J4" t="s">
        <v>89</v>
      </c>
      <c r="K4">
        <f>SUM(F4:F102)</f>
        <v>212</v>
      </c>
      <c r="L4">
        <f>SUMIFS(G4:G102,H4:H102,"完了")</f>
        <v>0</v>
      </c>
      <c r="M4">
        <f>K4 - L4</f>
        <v>212</v>
      </c>
    </row>
    <row r="5" spans="1:13" x14ac:dyDescent="0.4">
      <c r="A5" s="4"/>
      <c r="B5" t="s">
        <v>48</v>
      </c>
      <c r="D5" s="4" t="s">
        <v>69</v>
      </c>
      <c r="E5" t="s">
        <v>85</v>
      </c>
      <c r="F5">
        <v>1</v>
      </c>
      <c r="H5" s="5" t="s">
        <v>104</v>
      </c>
      <c r="J5" t="s">
        <v>85</v>
      </c>
      <c r="K5">
        <f>SUMIFS(F4:F102,E4:E102,"プロト")</f>
        <v>132</v>
      </c>
      <c r="L5">
        <f>SUMIFS(G4:G102,H4:H102,"完了",E4:E102,"プロト")</f>
        <v>0</v>
      </c>
      <c r="M5">
        <f t="shared" ref="M5:M7" si="0">K5 - L5</f>
        <v>132</v>
      </c>
    </row>
    <row r="6" spans="1:13" x14ac:dyDescent="0.4">
      <c r="A6" s="4"/>
      <c r="B6" t="s">
        <v>49</v>
      </c>
      <c r="D6" s="4" t="s">
        <v>69</v>
      </c>
      <c r="E6" t="s">
        <v>85</v>
      </c>
      <c r="F6">
        <v>2</v>
      </c>
      <c r="H6" s="5" t="s">
        <v>104</v>
      </c>
      <c r="J6" t="s">
        <v>86</v>
      </c>
      <c r="K6">
        <f>SUMIFS(F4:F102,E4:E102,"アルファ")</f>
        <v>71</v>
      </c>
      <c r="L6">
        <f>SUMIFS(G4:G102,H4:H102,"完了",E4:E102,"アルファ")</f>
        <v>0</v>
      </c>
      <c r="M6">
        <f t="shared" si="0"/>
        <v>71</v>
      </c>
    </row>
    <row r="7" spans="1:13" ht="19.5" thickBot="1" x14ac:dyDescent="0.45">
      <c r="A7" s="6"/>
      <c r="B7" s="7" t="s">
        <v>50</v>
      </c>
      <c r="C7" s="7"/>
      <c r="D7" s="6" t="s">
        <v>69</v>
      </c>
      <c r="E7" s="7" t="s">
        <v>85</v>
      </c>
      <c r="F7" s="7">
        <v>3</v>
      </c>
      <c r="G7" s="7"/>
      <c r="H7" s="8" t="s">
        <v>104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" t="s">
        <v>28</v>
      </c>
      <c r="B8" s="2" t="s">
        <v>33</v>
      </c>
      <c r="C8" s="3"/>
      <c r="D8" s="1" t="s">
        <v>69</v>
      </c>
      <c r="E8" s="2" t="s">
        <v>85</v>
      </c>
      <c r="F8" s="2">
        <v>2</v>
      </c>
      <c r="G8" s="2"/>
      <c r="H8" s="3" t="s">
        <v>104</v>
      </c>
    </row>
    <row r="9" spans="1:13" x14ac:dyDescent="0.4">
      <c r="A9" s="4"/>
      <c r="B9" t="s">
        <v>34</v>
      </c>
      <c r="C9" s="5"/>
      <c r="D9" s="4" t="s">
        <v>69</v>
      </c>
      <c r="E9" t="s">
        <v>85</v>
      </c>
      <c r="F9">
        <v>1</v>
      </c>
      <c r="H9" s="5" t="s">
        <v>104</v>
      </c>
    </row>
    <row r="10" spans="1:13" x14ac:dyDescent="0.4">
      <c r="A10" s="4"/>
      <c r="B10" t="s">
        <v>77</v>
      </c>
      <c r="C10" s="5"/>
      <c r="D10" s="4" t="s">
        <v>82</v>
      </c>
      <c r="E10" t="s">
        <v>85</v>
      </c>
      <c r="F10">
        <v>2</v>
      </c>
      <c r="H10" s="5" t="s">
        <v>104</v>
      </c>
    </row>
    <row r="11" spans="1:13" x14ac:dyDescent="0.4">
      <c r="A11" s="4"/>
      <c r="B11" t="s">
        <v>35</v>
      </c>
      <c r="C11" s="5"/>
      <c r="D11" s="4" t="s">
        <v>69</v>
      </c>
      <c r="E11" t="s">
        <v>85</v>
      </c>
      <c r="F11">
        <v>1</v>
      </c>
      <c r="H11" s="5" t="s">
        <v>104</v>
      </c>
    </row>
    <row r="12" spans="1:13" x14ac:dyDescent="0.4">
      <c r="A12" s="4"/>
      <c r="B12" t="s">
        <v>36</v>
      </c>
      <c r="C12" s="5"/>
      <c r="D12" s="4" t="s">
        <v>69</v>
      </c>
      <c r="E12" t="s">
        <v>85</v>
      </c>
      <c r="F12">
        <v>10</v>
      </c>
      <c r="H12" s="5" t="s">
        <v>104</v>
      </c>
    </row>
    <row r="13" spans="1:13" x14ac:dyDescent="0.4">
      <c r="A13" s="4"/>
      <c r="B13" t="s">
        <v>72</v>
      </c>
      <c r="C13" s="5"/>
      <c r="D13" s="4" t="s">
        <v>69</v>
      </c>
      <c r="E13" t="s">
        <v>85</v>
      </c>
      <c r="F13">
        <v>5</v>
      </c>
      <c r="H13" s="5" t="s">
        <v>104</v>
      </c>
    </row>
    <row r="14" spans="1:13" ht="19.5" thickBot="1" x14ac:dyDescent="0.45">
      <c r="A14" s="6"/>
      <c r="B14" s="7" t="s">
        <v>73</v>
      </c>
      <c r="C14" s="8"/>
      <c r="D14" s="6" t="s">
        <v>82</v>
      </c>
      <c r="E14" s="7" t="s">
        <v>85</v>
      </c>
      <c r="F14" s="7">
        <v>5</v>
      </c>
      <c r="G14" s="7"/>
      <c r="H14" s="8" t="s">
        <v>104</v>
      </c>
    </row>
    <row r="15" spans="1:13" x14ac:dyDescent="0.4">
      <c r="A15" s="4" t="s">
        <v>70</v>
      </c>
      <c r="B15" t="s">
        <v>71</v>
      </c>
      <c r="C15" s="5"/>
      <c r="D15" s="1" t="s">
        <v>69</v>
      </c>
      <c r="E15" s="2" t="s">
        <v>85</v>
      </c>
      <c r="F15" s="2">
        <v>7</v>
      </c>
      <c r="G15" s="2"/>
      <c r="H15" s="3" t="s">
        <v>104</v>
      </c>
    </row>
    <row r="16" spans="1:13" x14ac:dyDescent="0.4">
      <c r="A16" s="4"/>
      <c r="B16" t="s">
        <v>36</v>
      </c>
      <c r="C16" s="5"/>
      <c r="D16" s="4" t="s">
        <v>69</v>
      </c>
      <c r="E16" t="s">
        <v>85</v>
      </c>
      <c r="F16">
        <v>7</v>
      </c>
      <c r="H16" s="5" t="s">
        <v>104</v>
      </c>
    </row>
    <row r="17" spans="1:8" ht="19.5" thickBot="1" x14ac:dyDescent="0.45">
      <c r="A17" s="4"/>
      <c r="C17" s="5"/>
      <c r="D17" s="6"/>
      <c r="E17" s="7"/>
      <c r="F17" s="7"/>
      <c r="G17" s="7"/>
      <c r="H17" s="8" t="s">
        <v>104</v>
      </c>
    </row>
    <row r="18" spans="1:8" x14ac:dyDescent="0.4">
      <c r="A18" s="1" t="s">
        <v>30</v>
      </c>
      <c r="B18" s="2" t="s">
        <v>37</v>
      </c>
      <c r="C18" s="3" t="s">
        <v>78</v>
      </c>
      <c r="D18" s="1" t="s">
        <v>69</v>
      </c>
      <c r="E18" s="2" t="s">
        <v>85</v>
      </c>
      <c r="F18" s="2">
        <v>5</v>
      </c>
      <c r="G18" s="2"/>
      <c r="H18" s="3" t="s">
        <v>104</v>
      </c>
    </row>
    <row r="19" spans="1:8" x14ac:dyDescent="0.4">
      <c r="A19" s="4"/>
      <c r="B19" t="s">
        <v>33</v>
      </c>
      <c r="C19" s="5"/>
      <c r="D19" s="4" t="s">
        <v>69</v>
      </c>
      <c r="E19" t="s">
        <v>85</v>
      </c>
      <c r="F19">
        <v>5</v>
      </c>
      <c r="H19" s="5" t="s">
        <v>104</v>
      </c>
    </row>
    <row r="20" spans="1:8" x14ac:dyDescent="0.4">
      <c r="A20" s="4"/>
      <c r="B20" t="s">
        <v>38</v>
      </c>
      <c r="C20" s="5"/>
      <c r="D20" s="4" t="s">
        <v>69</v>
      </c>
      <c r="E20" t="s">
        <v>85</v>
      </c>
      <c r="F20">
        <v>5</v>
      </c>
      <c r="H20" s="5" t="s">
        <v>104</v>
      </c>
    </row>
    <row r="21" spans="1:8" ht="19.5" thickBot="1" x14ac:dyDescent="0.45">
      <c r="A21" s="6"/>
      <c r="B21" s="7" t="s">
        <v>39</v>
      </c>
      <c r="C21" s="8"/>
      <c r="D21" s="6" t="s">
        <v>69</v>
      </c>
      <c r="E21" s="7" t="s">
        <v>85</v>
      </c>
      <c r="F21" s="7">
        <v>5</v>
      </c>
      <c r="G21" s="7"/>
      <c r="H21" s="8" t="s">
        <v>104</v>
      </c>
    </row>
    <row r="22" spans="1:8" x14ac:dyDescent="0.4">
      <c r="A22" s="1" t="s">
        <v>29</v>
      </c>
      <c r="B22" s="2" t="s">
        <v>75</v>
      </c>
      <c r="C22" s="3"/>
      <c r="D22" s="1" t="s">
        <v>69</v>
      </c>
      <c r="E22" s="2" t="s">
        <v>85</v>
      </c>
      <c r="F22" s="2">
        <v>4</v>
      </c>
      <c r="G22" s="2"/>
      <c r="H22" s="3" t="s">
        <v>104</v>
      </c>
    </row>
    <row r="23" spans="1:8" x14ac:dyDescent="0.4">
      <c r="A23" s="4"/>
      <c r="B23" t="s">
        <v>74</v>
      </c>
      <c r="C23" s="5"/>
      <c r="D23" s="4" t="s">
        <v>69</v>
      </c>
      <c r="E23" t="s">
        <v>85</v>
      </c>
      <c r="F23">
        <v>4</v>
      </c>
      <c r="H23" s="5" t="s">
        <v>104</v>
      </c>
    </row>
    <row r="24" spans="1:8" x14ac:dyDescent="0.4">
      <c r="A24" s="4"/>
      <c r="B24" t="s">
        <v>40</v>
      </c>
      <c r="C24" s="5"/>
      <c r="D24" s="4" t="s">
        <v>69</v>
      </c>
      <c r="E24" t="s">
        <v>86</v>
      </c>
      <c r="F24">
        <v>4</v>
      </c>
      <c r="H24" s="5" t="s">
        <v>104</v>
      </c>
    </row>
    <row r="25" spans="1:8" x14ac:dyDescent="0.4">
      <c r="A25" s="4"/>
      <c r="B25" t="s">
        <v>41</v>
      </c>
      <c r="C25" s="5"/>
      <c r="D25" s="4" t="s">
        <v>81</v>
      </c>
      <c r="E25" t="s">
        <v>86</v>
      </c>
      <c r="F25">
        <v>4</v>
      </c>
      <c r="H25" s="5" t="s">
        <v>104</v>
      </c>
    </row>
    <row r="26" spans="1:8" x14ac:dyDescent="0.4">
      <c r="A26" s="4"/>
      <c r="B26" t="s">
        <v>42</v>
      </c>
      <c r="C26" s="5"/>
      <c r="D26" s="4" t="s">
        <v>69</v>
      </c>
      <c r="E26" t="s">
        <v>85</v>
      </c>
      <c r="F26">
        <v>7</v>
      </c>
      <c r="H26" s="5" t="s">
        <v>104</v>
      </c>
    </row>
    <row r="27" spans="1:8" x14ac:dyDescent="0.4">
      <c r="A27" s="4"/>
      <c r="B27" t="s">
        <v>43</v>
      </c>
      <c r="C27" s="5"/>
      <c r="D27" s="4" t="s">
        <v>81</v>
      </c>
      <c r="E27" t="s">
        <v>86</v>
      </c>
      <c r="F27">
        <v>5</v>
      </c>
      <c r="H27" s="5" t="s">
        <v>104</v>
      </c>
    </row>
    <row r="28" spans="1:8" ht="19.5" thickBot="1" x14ac:dyDescent="0.45">
      <c r="A28" s="6"/>
      <c r="B28" s="7" t="s">
        <v>44</v>
      </c>
      <c r="C28" s="8"/>
      <c r="D28" s="6" t="s">
        <v>81</v>
      </c>
      <c r="E28" s="7" t="s">
        <v>86</v>
      </c>
      <c r="F28" s="7">
        <v>5</v>
      </c>
      <c r="G28" s="7"/>
      <c r="H28" s="8" t="s">
        <v>104</v>
      </c>
    </row>
    <row r="29" spans="1:8" x14ac:dyDescent="0.4">
      <c r="A29" s="1" t="s">
        <v>45</v>
      </c>
      <c r="B29" s="2" t="s">
        <v>51</v>
      </c>
      <c r="C29" s="3"/>
      <c r="D29" s="1" t="s">
        <v>69</v>
      </c>
      <c r="E29" s="2" t="s">
        <v>85</v>
      </c>
      <c r="F29" s="2">
        <v>10</v>
      </c>
      <c r="G29" s="2"/>
      <c r="H29" s="3" t="s">
        <v>104</v>
      </c>
    </row>
    <row r="30" spans="1:8" x14ac:dyDescent="0.4">
      <c r="A30" s="4"/>
      <c r="B30" t="s">
        <v>52</v>
      </c>
      <c r="C30" s="5"/>
      <c r="D30" s="4" t="s">
        <v>81</v>
      </c>
      <c r="E30" t="s">
        <v>86</v>
      </c>
      <c r="F30">
        <v>10</v>
      </c>
      <c r="H30" s="5" t="s">
        <v>104</v>
      </c>
    </row>
    <row r="31" spans="1:8" ht="19.5" thickBot="1" x14ac:dyDescent="0.45">
      <c r="A31" s="6"/>
      <c r="B31" s="7" t="s">
        <v>53</v>
      </c>
      <c r="C31" s="8"/>
      <c r="D31" s="6" t="s">
        <v>81</v>
      </c>
      <c r="E31" s="7" t="s">
        <v>86</v>
      </c>
      <c r="F31" s="7">
        <v>10</v>
      </c>
      <c r="G31" s="7"/>
      <c r="H31" s="8" t="s">
        <v>104</v>
      </c>
    </row>
    <row r="32" spans="1:8" ht="19.5" thickBot="1" x14ac:dyDescent="0.45">
      <c r="A32" s="6" t="s">
        <v>167</v>
      </c>
      <c r="B32" s="7" t="s">
        <v>56</v>
      </c>
      <c r="C32" s="8" t="s">
        <v>168</v>
      </c>
      <c r="D32" s="6" t="s">
        <v>169</v>
      </c>
      <c r="E32" s="7" t="s">
        <v>4</v>
      </c>
      <c r="F32" s="7">
        <v>5</v>
      </c>
      <c r="G32" s="7"/>
      <c r="H32" s="8" t="s">
        <v>170</v>
      </c>
    </row>
    <row r="33" spans="1:8" ht="19.5" thickBot="1" x14ac:dyDescent="0.45">
      <c r="A33" s="6"/>
      <c r="B33" s="7"/>
      <c r="C33" s="8"/>
      <c r="D33" s="6"/>
      <c r="E33" s="7"/>
      <c r="F33" s="7"/>
      <c r="G33" s="7"/>
      <c r="H33" s="8"/>
    </row>
    <row r="34" spans="1:8" ht="19.5" thickBot="1" x14ac:dyDescent="0.45">
      <c r="A34" s="9" t="s">
        <v>46</v>
      </c>
      <c r="B34" s="10"/>
      <c r="C34" s="11"/>
      <c r="D34" s="9" t="s">
        <v>69</v>
      </c>
      <c r="E34" s="10" t="s">
        <v>85</v>
      </c>
      <c r="F34" s="10">
        <v>15</v>
      </c>
      <c r="G34" s="10"/>
      <c r="H34" s="11" t="s">
        <v>104</v>
      </c>
    </row>
    <row r="35" spans="1:8" x14ac:dyDescent="0.4">
      <c r="A35" s="1" t="s">
        <v>54</v>
      </c>
      <c r="B35" s="2" t="s">
        <v>55</v>
      </c>
      <c r="C35" s="3"/>
      <c r="D35" s="1" t="s">
        <v>69</v>
      </c>
      <c r="E35" s="2" t="s">
        <v>85</v>
      </c>
      <c r="F35" s="2">
        <v>5</v>
      </c>
      <c r="G35" s="2"/>
      <c r="H35" s="3" t="s">
        <v>104</v>
      </c>
    </row>
    <row r="36" spans="1:8" x14ac:dyDescent="0.4">
      <c r="A36" s="4"/>
      <c r="B36" t="s">
        <v>56</v>
      </c>
      <c r="C36" s="5"/>
      <c r="D36" s="4" t="s">
        <v>69</v>
      </c>
      <c r="E36" t="s">
        <v>85</v>
      </c>
      <c r="F36">
        <v>5</v>
      </c>
      <c r="H36" s="5" t="s">
        <v>104</v>
      </c>
    </row>
    <row r="37" spans="1:8" x14ac:dyDescent="0.4">
      <c r="A37" s="4"/>
      <c r="B37" t="s">
        <v>57</v>
      </c>
      <c r="C37" s="5"/>
      <c r="D37" s="4" t="s">
        <v>69</v>
      </c>
      <c r="E37" t="s">
        <v>86</v>
      </c>
      <c r="F37">
        <v>5</v>
      </c>
      <c r="H37" s="5" t="s">
        <v>104</v>
      </c>
    </row>
    <row r="38" spans="1:8" ht="19.5" thickBot="1" x14ac:dyDescent="0.45">
      <c r="A38" s="6"/>
      <c r="B38" s="7" t="s">
        <v>58</v>
      </c>
      <c r="C38" s="8"/>
      <c r="D38" s="6" t="s">
        <v>69</v>
      </c>
      <c r="E38" s="7" t="s">
        <v>87</v>
      </c>
      <c r="F38" s="7">
        <v>5</v>
      </c>
      <c r="G38" s="7"/>
      <c r="H38" s="8" t="s">
        <v>104</v>
      </c>
    </row>
    <row r="39" spans="1:8" x14ac:dyDescent="0.4">
      <c r="A39" s="1" t="s">
        <v>61</v>
      </c>
      <c r="B39" s="2" t="s">
        <v>79</v>
      </c>
      <c r="C39" s="3"/>
      <c r="D39" s="1" t="s">
        <v>69</v>
      </c>
      <c r="E39" s="2" t="s">
        <v>86</v>
      </c>
      <c r="F39" s="2">
        <v>2</v>
      </c>
      <c r="G39" s="2"/>
      <c r="H39" s="3" t="s">
        <v>104</v>
      </c>
    </row>
    <row r="40" spans="1:8" x14ac:dyDescent="0.4">
      <c r="A40" s="4"/>
      <c r="B40" t="s">
        <v>84</v>
      </c>
      <c r="C40" s="5"/>
      <c r="D40" s="4" t="s">
        <v>69</v>
      </c>
      <c r="E40" t="s">
        <v>86</v>
      </c>
      <c r="F40">
        <v>4</v>
      </c>
      <c r="H40" s="5" t="s">
        <v>104</v>
      </c>
    </row>
    <row r="41" spans="1:8" x14ac:dyDescent="0.4">
      <c r="A41" s="4"/>
      <c r="B41" t="s">
        <v>80</v>
      </c>
      <c r="C41" s="5"/>
      <c r="D41" s="4" t="s">
        <v>69</v>
      </c>
      <c r="E41" t="s">
        <v>86</v>
      </c>
      <c r="F41">
        <v>2</v>
      </c>
      <c r="H41" s="5" t="s">
        <v>104</v>
      </c>
    </row>
    <row r="42" spans="1:8" ht="19.5" thickBot="1" x14ac:dyDescent="0.45">
      <c r="A42" s="6"/>
      <c r="B42" s="7" t="s">
        <v>83</v>
      </c>
      <c r="C42" s="8"/>
      <c r="D42" s="6" t="s">
        <v>69</v>
      </c>
      <c r="E42" s="7" t="s">
        <v>87</v>
      </c>
      <c r="F42" s="7">
        <v>4</v>
      </c>
      <c r="G42" s="7"/>
      <c r="H42" s="8" t="s">
        <v>104</v>
      </c>
    </row>
    <row r="43" spans="1:8" x14ac:dyDescent="0.4">
      <c r="A43" s="1" t="s">
        <v>91</v>
      </c>
      <c r="B43" s="2" t="s">
        <v>92</v>
      </c>
      <c r="C43" s="3"/>
      <c r="D43" s="1" t="s">
        <v>100</v>
      </c>
      <c r="E43" s="2" t="s">
        <v>4</v>
      </c>
      <c r="F43" s="2">
        <v>3</v>
      </c>
      <c r="G43" s="2"/>
      <c r="H43" s="3" t="s">
        <v>104</v>
      </c>
    </row>
    <row r="44" spans="1:8" x14ac:dyDescent="0.4">
      <c r="A44" s="4"/>
      <c r="B44" t="s">
        <v>93</v>
      </c>
      <c r="C44" s="5"/>
      <c r="D44" s="4" t="s">
        <v>100</v>
      </c>
      <c r="E44" t="s">
        <v>4</v>
      </c>
      <c r="F44">
        <v>5</v>
      </c>
      <c r="H44" s="5" t="s">
        <v>104</v>
      </c>
    </row>
    <row r="45" spans="1:8" x14ac:dyDescent="0.4">
      <c r="A45" s="4"/>
      <c r="B45" t="s">
        <v>94</v>
      </c>
      <c r="C45" s="5"/>
      <c r="D45" s="4" t="s">
        <v>100</v>
      </c>
      <c r="E45" t="s">
        <v>5</v>
      </c>
      <c r="F45">
        <v>3</v>
      </c>
      <c r="H45" s="5" t="s">
        <v>104</v>
      </c>
    </row>
    <row r="46" spans="1:8" x14ac:dyDescent="0.4">
      <c r="A46" s="4"/>
      <c r="B46" t="s">
        <v>96</v>
      </c>
      <c r="C46" s="5"/>
      <c r="D46" s="4" t="s">
        <v>100</v>
      </c>
      <c r="E46" t="s">
        <v>5</v>
      </c>
      <c r="F46">
        <v>3</v>
      </c>
      <c r="H46" s="5" t="s">
        <v>104</v>
      </c>
    </row>
    <row r="47" spans="1:8" x14ac:dyDescent="0.4">
      <c r="A47" s="4"/>
      <c r="B47" t="s">
        <v>97</v>
      </c>
      <c r="C47" s="5"/>
      <c r="D47" s="4" t="s">
        <v>100</v>
      </c>
      <c r="E47" t="s">
        <v>5</v>
      </c>
      <c r="F47">
        <v>3</v>
      </c>
      <c r="H47" s="5" t="s">
        <v>104</v>
      </c>
    </row>
    <row r="48" spans="1:8" x14ac:dyDescent="0.4">
      <c r="A48" s="4"/>
      <c r="B48" t="s">
        <v>95</v>
      </c>
      <c r="C48" s="5"/>
      <c r="D48" s="4" t="s">
        <v>100</v>
      </c>
      <c r="E48" t="s">
        <v>5</v>
      </c>
      <c r="F48">
        <v>3</v>
      </c>
      <c r="H48" s="5" t="s">
        <v>104</v>
      </c>
    </row>
    <row r="49" spans="1:8" x14ac:dyDescent="0.4">
      <c r="A49" s="4"/>
      <c r="B49" t="s">
        <v>98</v>
      </c>
      <c r="C49" s="5"/>
      <c r="D49" s="4" t="s">
        <v>100</v>
      </c>
      <c r="E49" t="s">
        <v>5</v>
      </c>
      <c r="F49">
        <v>3</v>
      </c>
      <c r="H49" s="5" t="s">
        <v>104</v>
      </c>
    </row>
    <row r="50" spans="1:8" ht="19.5" thickBot="1" x14ac:dyDescent="0.45">
      <c r="A50" s="6"/>
      <c r="B50" s="7" t="s">
        <v>99</v>
      </c>
      <c r="C50" s="8"/>
      <c r="D50" s="6" t="s">
        <v>101</v>
      </c>
      <c r="E50" s="7" t="s">
        <v>5</v>
      </c>
      <c r="F50" s="7">
        <v>5</v>
      </c>
      <c r="G50" s="7"/>
      <c r="H50" s="8" t="s">
        <v>104</v>
      </c>
    </row>
  </sheetData>
  <phoneticPr fontId="1"/>
  <dataValidations count="1">
    <dataValidation type="list" allowBlank="1" showInputMessage="1" showErrorMessage="1" sqref="H4:H102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12">
        <v>46289</v>
      </c>
      <c r="B2" t="s">
        <v>166</v>
      </c>
    </row>
    <row r="3" spans="1:2" x14ac:dyDescent="0.4">
      <c r="A3" s="12">
        <v>46290</v>
      </c>
      <c r="B3" t="s">
        <v>171</v>
      </c>
    </row>
    <row r="4" spans="1:2" x14ac:dyDescent="0.4">
      <c r="A4" s="12">
        <v>46291</v>
      </c>
      <c r="B4" t="s">
        <v>172</v>
      </c>
    </row>
    <row r="5" spans="1:2" x14ac:dyDescent="0.4">
      <c r="A5" s="12">
        <v>46292</v>
      </c>
      <c r="B5" t="s">
        <v>173</v>
      </c>
    </row>
    <row r="6" spans="1:2" x14ac:dyDescent="0.4">
      <c r="A6" s="12">
        <v>46293</v>
      </c>
      <c r="B6" t="s">
        <v>174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I21" sqref="I21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90</v>
      </c>
      <c r="K9" s="14">
        <f ca="1" xml:space="preserve"> DATE(2026,12,31) - TODAY()</f>
        <v>80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DATE(2026,10,21) - TODAY()</f>
        <v>9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DATE(2026,11,18) - TODAY()</f>
        <v>37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65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クラス設計</vt:lpstr>
      <vt:lpstr>ゲーム基盤システム設計</vt:lpstr>
      <vt:lpstr>仕様とか洗い出し</vt:lpstr>
      <vt:lpstr>進捗日記</vt:lpstr>
      <vt:lpstr>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2026-10-12T06:50:33Z</dcterms:modified>
</cp:coreProperties>
</file>