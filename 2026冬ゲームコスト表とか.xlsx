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akiTaiga\Documents\GitHub\WinterGame_2026\"/>
    </mc:Choice>
  </mc:AlternateContent>
  <xr:revisionPtr revIDLastSave="0" documentId="13_ncr:1_{7AFDEC6B-3097-4020-ABC8-28D3DD945B07}" xr6:coauthVersionLast="47" xr6:coauthVersionMax="47" xr10:uidLastSave="{00000000-0000-0000-0000-000000000000}"/>
  <bookViews>
    <workbookView xWindow="-120" yWindow="-120" windowWidth="29040" windowHeight="15720" xr2:uid="{8A71DC28-49E8-41AA-9117-775B2AFBA393}"/>
  </bookViews>
  <sheets>
    <sheet name="コスト表" sheetId="3" r:id="rId1"/>
    <sheet name="カレンダー" sheetId="10" r:id="rId2"/>
    <sheet name="汎用メモ" sheetId="11" r:id="rId3"/>
    <sheet name="クラス設計" sheetId="7" r:id="rId4"/>
    <sheet name="ゲーム基盤システム設計" sheetId="8" r:id="rId5"/>
    <sheet name="仕様とか洗い出し" sheetId="1" r:id="rId6"/>
    <sheet name="進捗日記" sheetId="9" r:id="rId7"/>
  </sheets>
  <definedNames>
    <definedName name="_xlnm._FilterDatabase" localSheetId="0" hidden="1">コスト表!$A$3:$H$61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10" l="1"/>
  <c r="K10" i="10"/>
  <c r="K12" i="10"/>
  <c r="L8" i="3"/>
  <c r="L7" i="3"/>
  <c r="L6" i="3"/>
  <c r="L4" i="3"/>
  <c r="K8" i="3"/>
  <c r="K7" i="3"/>
  <c r="K6" i="3"/>
  <c r="K4" i="3"/>
  <c r="L13" i="3" s="1"/>
  <c r="K9" i="10" s="1"/>
  <c r="L14" i="3" l="1"/>
  <c r="L16" i="3"/>
  <c r="L15" i="3"/>
  <c r="M7" i="3"/>
  <c r="M6" i="3"/>
  <c r="M4" i="3"/>
  <c r="M8" i="3"/>
</calcChain>
</file>

<file path=xl/sharedStrings.xml><?xml version="1.0" encoding="utf-8"?>
<sst xmlns="http://schemas.openxmlformats.org/spreadsheetml/2006/main" count="333" uniqueCount="184">
  <si>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</si>
  <si>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</si>
  <si>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</si>
  <si>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</si>
  <si>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プロト</t>
    <phoneticPr fontId="1"/>
  </si>
  <si>
    <t>アルファ</t>
    <phoneticPr fontId="1"/>
  </si>
  <si>
    <t>ベータ</t>
    <phoneticPr fontId="1"/>
  </si>
  <si>
    <t>マスター</t>
    <phoneticPr fontId="1"/>
  </si>
  <si>
    <t>締め切り</t>
    <rPh sb="0" eb="1">
      <t>シ</t>
    </rPh>
    <rPh sb="2" eb="3">
      <t>キ</t>
    </rPh>
    <phoneticPr fontId="1"/>
  </si>
  <si>
    <t>TPSの方はシンプルにしてパズルの方を重視する</t>
    <rPh sb="4" eb="5">
      <t>ホウ</t>
    </rPh>
    <rPh sb="17" eb="18">
      <t>ホウ</t>
    </rPh>
    <rPh sb="19" eb="21">
      <t>ジュウシ</t>
    </rPh>
    <phoneticPr fontId="1"/>
  </si>
  <si>
    <t>→銃は1種類、パズルでいろいろできるようにする</t>
    <rPh sb="1" eb="2">
      <t>ジュウ</t>
    </rPh>
    <rPh sb="4" eb="6">
      <t>シュルイ</t>
    </rPh>
    <phoneticPr fontId="1"/>
  </si>
  <si>
    <t>ABXYでマスを移動、一度通ったところは通れない。</t>
    <rPh sb="8" eb="10">
      <t>イドウ</t>
    </rPh>
    <rPh sb="11" eb="14">
      <t>イチドトオ</t>
    </rPh>
    <rPh sb="20" eb="21">
      <t>トオ</t>
    </rPh>
    <phoneticPr fontId="1"/>
  </si>
  <si>
    <t>緑マスにたどり着いたらハック成功。敵が弱体化する(被ダメージ増加)</t>
    <rPh sb="0" eb="1">
      <t>ミドリ</t>
    </rPh>
    <rPh sb="7" eb="8">
      <t>ツ</t>
    </rPh>
    <rPh sb="14" eb="16">
      <t>セイコウ</t>
    </rPh>
    <rPh sb="17" eb="18">
      <t>テキ</t>
    </rPh>
    <rPh sb="19" eb="22">
      <t>ジャクタイカ</t>
    </rPh>
    <rPh sb="25" eb="26">
      <t>ヒ</t>
    </rPh>
    <rPh sb="30" eb="32">
      <t>ゾウカ</t>
    </rPh>
    <phoneticPr fontId="1"/>
  </si>
  <si>
    <t>青マスを通ってハックしたら敵が弱体化している時間が増加</t>
    <rPh sb="0" eb="1">
      <t>アオ</t>
    </rPh>
    <rPh sb="4" eb="5">
      <t>トオ</t>
    </rPh>
    <rPh sb="13" eb="14">
      <t>テキ</t>
    </rPh>
    <rPh sb="15" eb="18">
      <t>ジャクタイカ</t>
    </rPh>
    <rPh sb="22" eb="24">
      <t>ジカン</t>
    </rPh>
    <rPh sb="25" eb="27">
      <t>ゾウカ</t>
    </rPh>
    <phoneticPr fontId="1"/>
  </si>
  <si>
    <t>黄色マスを通ってハックしたら特殊効果発動</t>
    <rPh sb="0" eb="2">
      <t>キイロ</t>
    </rPh>
    <rPh sb="5" eb="6">
      <t>トオ</t>
    </rPh>
    <rPh sb="14" eb="16">
      <t>トクシュ</t>
    </rPh>
    <rPh sb="16" eb="18">
      <t>コウカ</t>
    </rPh>
    <rPh sb="18" eb="20">
      <t>ハツドウ</t>
    </rPh>
    <phoneticPr fontId="1"/>
  </si>
  <si>
    <t>灰マスは通れない</t>
    <rPh sb="0" eb="1">
      <t>ハイ</t>
    </rPh>
    <rPh sb="4" eb="5">
      <t>トオ</t>
    </rPh>
    <phoneticPr fontId="1"/>
  </si>
  <si>
    <t>赤マスに触れるとハック失敗　盤面がリセットされる</t>
    <rPh sb="0" eb="1">
      <t>アカ</t>
    </rPh>
    <rPh sb="4" eb="5">
      <t>フ</t>
    </rPh>
    <rPh sb="11" eb="13">
      <t>シッパイ</t>
    </rPh>
    <rPh sb="14" eb="16">
      <t>バンメン</t>
    </rPh>
    <phoneticPr fontId="1"/>
  </si>
  <si>
    <t>黄色マスの効果</t>
    <rPh sb="0" eb="2">
      <t>キイロ</t>
    </rPh>
    <rPh sb="5" eb="7">
      <t>コウカ</t>
    </rPh>
    <phoneticPr fontId="1"/>
  </si>
  <si>
    <t>・銃強化(連射速度増加)</t>
    <rPh sb="1" eb="2">
      <t>ジュウ</t>
    </rPh>
    <rPh sb="2" eb="4">
      <t>キョウカ</t>
    </rPh>
    <rPh sb="5" eb="7">
      <t>レンシャ</t>
    </rPh>
    <rPh sb="7" eb="9">
      <t>ソクド</t>
    </rPh>
    <rPh sb="9" eb="11">
      <t>ゾウカ</t>
    </rPh>
    <phoneticPr fontId="1"/>
  </si>
  <si>
    <t>・マルチハック(周りの敵にハック状態が伝播)</t>
    <rPh sb="8" eb="9">
      <t>マワ</t>
    </rPh>
    <rPh sb="11" eb="12">
      <t>テキ</t>
    </rPh>
    <rPh sb="16" eb="18">
      <t>ジョウタイ</t>
    </rPh>
    <rPh sb="19" eb="21">
      <t>デンパ</t>
    </rPh>
    <phoneticPr fontId="1"/>
  </si>
  <si>
    <t>・被ダメージ増加(ハックでの弱体化に追加で)</t>
    <rPh sb="1" eb="2">
      <t>ヒ</t>
    </rPh>
    <rPh sb="6" eb="8">
      <t>ゾウカ</t>
    </rPh>
    <rPh sb="14" eb="17">
      <t>ジャクタイカ</t>
    </rPh>
    <rPh sb="18" eb="20">
      <t>ツイカ</t>
    </rPh>
    <phoneticPr fontId="1"/>
  </si>
  <si>
    <t>黄色マスの出現条件</t>
    <rPh sb="0" eb="2">
      <t>キイロ</t>
    </rPh>
    <rPh sb="5" eb="9">
      <t>シュツゲンジョウケン</t>
    </rPh>
    <phoneticPr fontId="1"/>
  </si>
  <si>
    <t>・プレイヤーに所持させる</t>
    <rPh sb="7" eb="9">
      <t>ショジ</t>
    </rPh>
    <phoneticPr fontId="1"/>
  </si>
  <si>
    <t>→プレイヤーが持っていたら出現　効果が発動したら消費する？　マップに落ちてるのを拾わせる？</t>
    <rPh sb="7" eb="8">
      <t>モ</t>
    </rPh>
    <rPh sb="13" eb="15">
      <t>シュツゲン</t>
    </rPh>
    <rPh sb="16" eb="18">
      <t>コウカ</t>
    </rPh>
    <rPh sb="19" eb="21">
      <t>ハツドウ</t>
    </rPh>
    <rPh sb="24" eb="26">
      <t>ショウヒ</t>
    </rPh>
    <rPh sb="34" eb="35">
      <t>オ</t>
    </rPh>
    <rPh sb="40" eb="41">
      <t>ヒロ</t>
    </rPh>
    <phoneticPr fontId="1"/>
  </si>
  <si>
    <t>ゲームシーンだけでも遊べるように。プレイヤー、敵一体、ハッキング(黄色マス以外)、ステージ(仮)を実装する</t>
    <rPh sb="10" eb="11">
      <t>アソ</t>
    </rPh>
    <rPh sb="23" eb="26">
      <t>テキイッタイ</t>
    </rPh>
    <rPh sb="33" eb="35">
      <t>キイロ</t>
    </rPh>
    <rPh sb="37" eb="39">
      <t>イガイ</t>
    </rPh>
    <rPh sb="46" eb="47">
      <t>カリ</t>
    </rPh>
    <rPh sb="49" eb="51">
      <t>ジッソウ</t>
    </rPh>
    <phoneticPr fontId="1"/>
  </si>
  <si>
    <t>要素を増やしていく。ゲームシーン以外を実装(見た目は後)、ハッキングの黄色マス追加、敵追加、ステージ追加、改良</t>
    <rPh sb="0" eb="2">
      <t>ヨウソ</t>
    </rPh>
    <rPh sb="3" eb="4">
      <t>フ</t>
    </rPh>
    <rPh sb="16" eb="18">
      <t>イガイ</t>
    </rPh>
    <rPh sb="19" eb="21">
      <t>ジッソウ</t>
    </rPh>
    <rPh sb="22" eb="23">
      <t>ミ</t>
    </rPh>
    <rPh sb="24" eb="25">
      <t>メ</t>
    </rPh>
    <rPh sb="26" eb="27">
      <t>アト</t>
    </rPh>
    <rPh sb="35" eb="37">
      <t>キイロ</t>
    </rPh>
    <rPh sb="39" eb="41">
      <t>ツイカ</t>
    </rPh>
    <rPh sb="42" eb="45">
      <t>テキツイカ</t>
    </rPh>
    <rPh sb="50" eb="52">
      <t>ツイカ</t>
    </rPh>
    <rPh sb="53" eb="55">
      <t>カイリョウ</t>
    </rPh>
    <phoneticPr fontId="1"/>
  </si>
  <si>
    <t>見た目を良くしていく。同時にレベルデザインやその他の改良なども行う。</t>
    <rPh sb="0" eb="1">
      <t>ミ</t>
    </rPh>
    <rPh sb="2" eb="3">
      <t>メ</t>
    </rPh>
    <rPh sb="4" eb="5">
      <t>ヨ</t>
    </rPh>
    <rPh sb="11" eb="13">
      <t>ドウジ</t>
    </rPh>
    <rPh sb="24" eb="25">
      <t>タ</t>
    </rPh>
    <rPh sb="26" eb="28">
      <t>カイリョウ</t>
    </rPh>
    <rPh sb="31" eb="32">
      <t>オコナ</t>
    </rPh>
    <phoneticPr fontId="1"/>
  </si>
  <si>
    <t>細かいところを調整。見た目とか難易度とか</t>
    <rPh sb="0" eb="1">
      <t>コマ</t>
    </rPh>
    <rPh sb="7" eb="9">
      <t>チョウセイ</t>
    </rPh>
    <rPh sb="10" eb="11">
      <t>ミ</t>
    </rPh>
    <rPh sb="12" eb="13">
      <t>メ</t>
    </rPh>
    <rPh sb="15" eb="18">
      <t>ナンイド</t>
    </rPh>
    <phoneticPr fontId="1"/>
  </si>
  <si>
    <t>プレイヤー</t>
    <phoneticPr fontId="1"/>
  </si>
  <si>
    <t>敵</t>
    <rPh sb="0" eb="1">
      <t>テキ</t>
    </rPh>
    <phoneticPr fontId="1"/>
  </si>
  <si>
    <t>ハッキング</t>
    <phoneticPr fontId="1"/>
  </si>
  <si>
    <t>当たり判定</t>
    <rPh sb="0" eb="1">
      <t>ア</t>
    </rPh>
    <rPh sb="3" eb="5">
      <t>ハンテイ</t>
    </rPh>
    <phoneticPr fontId="1"/>
  </si>
  <si>
    <t>・動きが止まる</t>
    <rPh sb="1" eb="2">
      <t>ウゴ</t>
    </rPh>
    <rPh sb="4" eb="5">
      <t>ト</t>
    </rPh>
    <phoneticPr fontId="1"/>
  </si>
  <si>
    <t>移動</t>
    <rPh sb="0" eb="2">
      <t>イドウ</t>
    </rPh>
    <phoneticPr fontId="1"/>
  </si>
  <si>
    <t>ジャンプ</t>
    <phoneticPr fontId="1"/>
  </si>
  <si>
    <t>回避</t>
    <rPh sb="0" eb="2">
      <t>カイヒ</t>
    </rPh>
    <phoneticPr fontId="1"/>
  </si>
  <si>
    <t>エイム</t>
    <phoneticPr fontId="1"/>
  </si>
  <si>
    <t>盤面生成</t>
    <rPh sb="0" eb="4">
      <t>バンメンセイセイ</t>
    </rPh>
    <phoneticPr fontId="1"/>
  </si>
  <si>
    <t>発動</t>
    <rPh sb="0" eb="2">
      <t>ハツドウ</t>
    </rPh>
    <phoneticPr fontId="1"/>
  </si>
  <si>
    <t>特殊効果</t>
    <rPh sb="0" eb="4">
      <t>トクシュコウカ</t>
    </rPh>
    <phoneticPr fontId="1"/>
  </si>
  <si>
    <t>雑魚敵2</t>
    <rPh sb="0" eb="3">
      <t>ザコテキ</t>
    </rPh>
    <phoneticPr fontId="1"/>
  </si>
  <si>
    <t>雑魚敵3</t>
    <rPh sb="0" eb="3">
      <t>ザコテキ</t>
    </rPh>
    <phoneticPr fontId="1"/>
  </si>
  <si>
    <t>ボス1</t>
    <phoneticPr fontId="1"/>
  </si>
  <si>
    <t>ボス2</t>
    <phoneticPr fontId="1"/>
  </si>
  <si>
    <t>ボス3</t>
    <phoneticPr fontId="1"/>
  </si>
  <si>
    <t>ステージ作成</t>
    <rPh sb="4" eb="6">
      <t>サクセイ</t>
    </rPh>
    <phoneticPr fontId="1"/>
  </si>
  <si>
    <t>クラス設計</t>
    <rPh sb="3" eb="5">
      <t>セッケイ</t>
    </rPh>
    <phoneticPr fontId="1"/>
  </si>
  <si>
    <t>マネージャー</t>
    <phoneticPr fontId="1"/>
  </si>
  <si>
    <t>球</t>
    <rPh sb="0" eb="1">
      <t>キュウ</t>
    </rPh>
    <phoneticPr fontId="1"/>
  </si>
  <si>
    <t>カプセル</t>
    <phoneticPr fontId="1"/>
  </si>
  <si>
    <t>ポリゴン</t>
    <phoneticPr fontId="1"/>
  </si>
  <si>
    <t>ステージ1</t>
    <phoneticPr fontId="1"/>
  </si>
  <si>
    <t>ステージ2</t>
    <phoneticPr fontId="1"/>
  </si>
  <si>
    <t>ステージ3</t>
    <phoneticPr fontId="1"/>
  </si>
  <si>
    <t>素材集め、編集</t>
    <rPh sb="0" eb="2">
      <t>ソザイ</t>
    </rPh>
    <rPh sb="2" eb="3">
      <t>アツ</t>
    </rPh>
    <rPh sb="5" eb="7">
      <t>ヘンシュウ</t>
    </rPh>
    <phoneticPr fontId="1"/>
  </si>
  <si>
    <t>モデル</t>
    <phoneticPr fontId="1"/>
  </si>
  <si>
    <t>アニメーション</t>
    <phoneticPr fontId="1"/>
  </si>
  <si>
    <t>画像</t>
    <rPh sb="0" eb="2">
      <t>ガゾウ</t>
    </rPh>
    <phoneticPr fontId="1"/>
  </si>
  <si>
    <t>音</t>
    <rPh sb="0" eb="1">
      <t>オト</t>
    </rPh>
    <phoneticPr fontId="1"/>
  </si>
  <si>
    <t>概要</t>
    <rPh sb="0" eb="2">
      <t>ガイヨウ</t>
    </rPh>
    <phoneticPr fontId="1"/>
  </si>
  <si>
    <t>詳細</t>
    <rPh sb="0" eb="2">
      <t>ショウサイ</t>
    </rPh>
    <phoneticPr fontId="1"/>
  </si>
  <si>
    <t>その他</t>
    <rPh sb="2" eb="3">
      <t>タ</t>
    </rPh>
    <phoneticPr fontId="1"/>
  </si>
  <si>
    <t>優先度</t>
    <rPh sb="0" eb="3">
      <t>ユウセンド</t>
    </rPh>
    <phoneticPr fontId="1"/>
  </si>
  <si>
    <t>段階</t>
    <rPh sb="0" eb="2">
      <t>ダンカイ</t>
    </rPh>
    <phoneticPr fontId="1"/>
  </si>
  <si>
    <t>コスト</t>
    <phoneticPr fontId="1"/>
  </si>
  <si>
    <t>実コスト</t>
    <rPh sb="0" eb="1">
      <t>ジツ</t>
    </rPh>
    <phoneticPr fontId="1"/>
  </si>
  <si>
    <t>進捗</t>
    <rPh sb="0" eb="2">
      <t>シンチョク</t>
    </rPh>
    <phoneticPr fontId="1"/>
  </si>
  <si>
    <t>冬ゲームコスト表</t>
    <rPh sb="0" eb="1">
      <t>フユ</t>
    </rPh>
    <rPh sb="7" eb="8">
      <t>ヒョウ</t>
    </rPh>
    <phoneticPr fontId="1"/>
  </si>
  <si>
    <t>1コスト1時間</t>
    <rPh sb="5" eb="7">
      <t>ジカン</t>
    </rPh>
    <phoneticPr fontId="1"/>
  </si>
  <si>
    <t>S</t>
    <phoneticPr fontId="1"/>
  </si>
  <si>
    <t>カメラ</t>
    <phoneticPr fontId="1"/>
  </si>
  <si>
    <t>通常</t>
    <rPh sb="0" eb="2">
      <t>ツウジョウ</t>
    </rPh>
    <phoneticPr fontId="1"/>
  </si>
  <si>
    <t>必殺技</t>
    <rPh sb="0" eb="3">
      <t>ヒッサツワザ</t>
    </rPh>
    <phoneticPr fontId="1"/>
  </si>
  <si>
    <t>雑魚敵1</t>
    <rPh sb="0" eb="3">
      <t>ザコテキ</t>
    </rPh>
    <phoneticPr fontId="1"/>
  </si>
  <si>
    <t>敵ベース</t>
    <rPh sb="0" eb="1">
      <t>テキ</t>
    </rPh>
    <phoneticPr fontId="1"/>
  </si>
  <si>
    <t>さらに詳細</t>
    <rPh sb="3" eb="5">
      <t>ショウサイ</t>
    </rPh>
    <phoneticPr fontId="1"/>
  </si>
  <si>
    <t>ホバー</t>
    <phoneticPr fontId="1"/>
  </si>
  <si>
    <t>外部化とかして簡単にいじれるようにする</t>
    <rPh sb="0" eb="3">
      <t>ガイブカ</t>
    </rPh>
    <rPh sb="7" eb="9">
      <t>カンタン</t>
    </rPh>
    <phoneticPr fontId="1"/>
  </si>
  <si>
    <t>エフェクトマネージャー</t>
    <phoneticPr fontId="1"/>
  </si>
  <si>
    <t>サウンドマネージャー</t>
    <phoneticPr fontId="1"/>
  </si>
  <si>
    <t>A</t>
    <phoneticPr fontId="1"/>
  </si>
  <si>
    <t>B</t>
    <phoneticPr fontId="1"/>
  </si>
  <si>
    <t>サウンド実装</t>
    <rPh sb="4" eb="6">
      <t>ジッソウ</t>
    </rPh>
    <phoneticPr fontId="1"/>
  </si>
  <si>
    <t>エフェクト実装</t>
    <rPh sb="5" eb="7">
      <t>ジッソウ</t>
    </rPh>
    <phoneticPr fontId="1"/>
  </si>
  <si>
    <t>プロト</t>
    <phoneticPr fontId="1"/>
  </si>
  <si>
    <t>アルファ</t>
    <phoneticPr fontId="1"/>
  </si>
  <si>
    <t>ベータ</t>
    <phoneticPr fontId="1"/>
  </si>
  <si>
    <t>総コスト</t>
    <rPh sb="0" eb="1">
      <t>ソウ</t>
    </rPh>
    <phoneticPr fontId="1"/>
  </si>
  <si>
    <t>すべて</t>
    <phoneticPr fontId="1"/>
  </si>
  <si>
    <t>残り日数</t>
    <rPh sb="0" eb="1">
      <t>ノコ</t>
    </rPh>
    <rPh sb="2" eb="4">
      <t>ニッスウ</t>
    </rPh>
    <phoneticPr fontId="1"/>
  </si>
  <si>
    <t>シーン</t>
    <phoneticPr fontId="1"/>
  </si>
  <si>
    <t>ゲーム</t>
    <phoneticPr fontId="1"/>
  </si>
  <si>
    <t>タイトル</t>
    <phoneticPr fontId="1"/>
  </si>
  <si>
    <t>ステージセレクト</t>
    <phoneticPr fontId="1"/>
  </si>
  <si>
    <t>クリア</t>
    <phoneticPr fontId="1"/>
  </si>
  <si>
    <t>ゲームオーバー</t>
    <phoneticPr fontId="1"/>
  </si>
  <si>
    <t>ポーズ</t>
    <phoneticPr fontId="1"/>
  </si>
  <si>
    <t>オプション</t>
    <phoneticPr fontId="1"/>
  </si>
  <si>
    <t>S</t>
    <phoneticPr fontId="1"/>
  </si>
  <si>
    <t>A</t>
    <phoneticPr fontId="1"/>
  </si>
  <si>
    <t>のこりコスト</t>
    <phoneticPr fontId="1"/>
  </si>
  <si>
    <t>完了コスト</t>
    <rPh sb="0" eb="2">
      <t>カンリョウ</t>
    </rPh>
    <phoneticPr fontId="1"/>
  </si>
  <si>
    <t>未着手</t>
  </si>
  <si>
    <t>Player</t>
    <phoneticPr fontId="1"/>
  </si>
  <si>
    <t>ゲーム内のもの</t>
    <rPh sb="3" eb="4">
      <t>ナイ</t>
    </rPh>
    <phoneticPr fontId="1"/>
  </si>
  <si>
    <t>やること</t>
    <phoneticPr fontId="1"/>
  </si>
  <si>
    <t>Enemy</t>
    <phoneticPr fontId="1"/>
  </si>
  <si>
    <t>Weapon</t>
    <phoneticPr fontId="1"/>
  </si>
  <si>
    <t>射撃、弾管理</t>
    <rPh sb="0" eb="2">
      <t>シャゲキ</t>
    </rPh>
    <rPh sb="3" eb="4">
      <t>タマ</t>
    </rPh>
    <rPh sb="4" eb="6">
      <t>カンリ</t>
    </rPh>
    <phoneticPr fontId="1"/>
  </si>
  <si>
    <t>Bullet</t>
    <phoneticPr fontId="1"/>
  </si>
  <si>
    <t>移動、衝突、与ダメージ</t>
    <rPh sb="0" eb="2">
      <t>イドウ</t>
    </rPh>
    <rPh sb="3" eb="5">
      <t>ショウトツ</t>
    </rPh>
    <rPh sb="6" eb="7">
      <t>アタ</t>
    </rPh>
    <phoneticPr fontId="1"/>
  </si>
  <si>
    <t>移動、ジャンプ、ホバー、照準、射撃、ハッキング、被ダメージ、死亡</t>
    <rPh sb="0" eb="2">
      <t>イドウ</t>
    </rPh>
    <rPh sb="12" eb="14">
      <t>ショウジュン</t>
    </rPh>
    <rPh sb="15" eb="17">
      <t>シャゲキ</t>
    </rPh>
    <rPh sb="24" eb="25">
      <t>ヒ</t>
    </rPh>
    <rPh sb="30" eb="32">
      <t>シボウ</t>
    </rPh>
    <phoneticPr fontId="1"/>
  </si>
  <si>
    <t>移動、攻撃(与ダメージ)、被ダメージ、死亡</t>
    <rPh sb="0" eb="2">
      <t>イドウ</t>
    </rPh>
    <rPh sb="3" eb="5">
      <t>コウゲキ</t>
    </rPh>
    <rPh sb="6" eb="7">
      <t>アタ</t>
    </rPh>
    <rPh sb="13" eb="14">
      <t>ヒ</t>
    </rPh>
    <rPh sb="19" eb="21">
      <t>シボウ</t>
    </rPh>
    <phoneticPr fontId="1"/>
  </si>
  <si>
    <t>Camera</t>
    <phoneticPr fontId="1"/>
  </si>
  <si>
    <t>プレイヤーに追従、フリー回転、照準時のカメラ、その他特殊な演出用カメラ</t>
    <rPh sb="6" eb="8">
      <t>ツイジュウ</t>
    </rPh>
    <rPh sb="12" eb="14">
      <t>カイテン</t>
    </rPh>
    <rPh sb="15" eb="18">
      <t>ショウジュンジ</t>
    </rPh>
    <rPh sb="25" eb="26">
      <t>タ</t>
    </rPh>
    <rPh sb="26" eb="28">
      <t>トクシュ</t>
    </rPh>
    <rPh sb="29" eb="32">
      <t>エンシュツヨウ</t>
    </rPh>
    <phoneticPr fontId="1"/>
  </si>
  <si>
    <t>HackBoard</t>
    <phoneticPr fontId="1"/>
  </si>
  <si>
    <t>ハッキング盤面を管理</t>
    <rPh sb="5" eb="7">
      <t>バンメン</t>
    </rPh>
    <rPh sb="8" eb="10">
      <t>カンリ</t>
    </rPh>
    <phoneticPr fontId="1"/>
  </si>
  <si>
    <t>HackCell</t>
    <phoneticPr fontId="1"/>
  </si>
  <si>
    <t>マスの種類を管理</t>
    <rPh sb="3" eb="5">
      <t>シュルイ</t>
    </rPh>
    <rPh sb="6" eb="8">
      <t>カンリ</t>
    </rPh>
    <phoneticPr fontId="1"/>
  </si>
  <si>
    <t>Stage</t>
    <phoneticPr fontId="1"/>
  </si>
  <si>
    <t>ステージの情報(ステージオブジェクトの配列？)</t>
    <rPh sb="5" eb="7">
      <t>ジョウホウ</t>
    </rPh>
    <rPh sb="19" eb="21">
      <t>ハイレツ</t>
    </rPh>
    <phoneticPr fontId="1"/>
  </si>
  <si>
    <t>UI</t>
    <phoneticPr fontId="1"/>
  </si>
  <si>
    <t>プレイヤーのHP、敵のHP、弾、ハッキング、レティクル</t>
    <rPh sb="9" eb="10">
      <t>テキ</t>
    </rPh>
    <rPh sb="14" eb="15">
      <t>タマ</t>
    </rPh>
    <phoneticPr fontId="1"/>
  </si>
  <si>
    <t>Transform</t>
    <phoneticPr fontId="1"/>
  </si>
  <si>
    <t>Vector3 pos</t>
    <phoneticPr fontId="1"/>
  </si>
  <si>
    <t>Vector3 rot</t>
    <phoneticPr fontId="1"/>
  </si>
  <si>
    <t>Vector3 scale</t>
    <phoneticPr fontId="1"/>
  </si>
  <si>
    <t>Physics</t>
    <phoneticPr fontId="1"/>
  </si>
  <si>
    <t>Vector3 vel</t>
    <phoneticPr fontId="1"/>
  </si>
  <si>
    <t>Vector3 accel</t>
    <phoneticPr fontId="1"/>
  </si>
  <si>
    <t>Collidable</t>
    <phoneticPr fontId="1"/>
  </si>
  <si>
    <t>ColliderBase* pCollider</t>
    <phoneticPr fontId="1"/>
  </si>
  <si>
    <t>void Update();</t>
    <phoneticPr fontId="1"/>
  </si>
  <si>
    <t>Physics* pPhysics</t>
    <phoneticPr fontId="1"/>
  </si>
  <si>
    <t>当たり判定本体</t>
    <rPh sb="0" eb="1">
      <t>ア</t>
    </rPh>
    <rPh sb="3" eb="5">
      <t>ハンテイ</t>
    </rPh>
    <rPh sb="5" eb="7">
      <t>ホンタイ</t>
    </rPh>
    <phoneticPr fontId="1"/>
  </si>
  <si>
    <t>const Transform* pTransform</t>
    <phoneticPr fontId="1"/>
  </si>
  <si>
    <t>当たり判定の位置などを知るために持つ</t>
    <rPh sb="0" eb="1">
      <t>ア</t>
    </rPh>
    <rPh sb="3" eb="5">
      <t>ハンテイ</t>
    </rPh>
    <rPh sb="6" eb="8">
      <t>イチ</t>
    </rPh>
    <rPh sb="11" eb="12">
      <t>シ</t>
    </rPh>
    <rPh sb="16" eb="17">
      <t>モ</t>
    </rPh>
    <phoneticPr fontId="1"/>
  </si>
  <si>
    <t>当たった時の押し戻し処理とかのために持つ</t>
    <rPh sb="0" eb="1">
      <t>ア</t>
    </rPh>
    <rPh sb="4" eb="5">
      <t>トキ</t>
    </rPh>
    <rPh sb="6" eb="7">
      <t>オ</t>
    </rPh>
    <rPh sb="18" eb="19">
      <t>モ</t>
    </rPh>
    <phoneticPr fontId="1"/>
  </si>
  <si>
    <t>当たった時の処理を持つ</t>
    <rPh sb="0" eb="1">
      <t>ア</t>
    </rPh>
    <rPh sb="4" eb="5">
      <t>トキ</t>
    </rPh>
    <rPh sb="6" eb="8">
      <t>ショリ</t>
    </rPh>
    <rPh sb="9" eb="10">
      <t>モ</t>
    </rPh>
    <phoneticPr fontId="1"/>
  </si>
  <si>
    <t>std::function onCollision(const CollisionInfo&amp; collisionInfo)</t>
    <phoneticPr fontId="1"/>
  </si>
  <si>
    <t>void Init(Transform* pTransform)</t>
    <phoneticPr fontId="1"/>
  </si>
  <si>
    <t>Transform* m_pTransform</t>
    <phoneticPr fontId="1"/>
  </si>
  <si>
    <t>Transformのポインタを設定する</t>
    <rPh sb="15" eb="17">
      <t>セッテイ</t>
    </rPh>
    <phoneticPr fontId="1"/>
  </si>
  <si>
    <t>void Init(いろいろ)</t>
    <phoneticPr fontId="1"/>
  </si>
  <si>
    <t>ポインタや関数などいろいろ設定する</t>
    <rPh sb="5" eb="7">
      <t>カンスウ</t>
    </rPh>
    <rPh sb="13" eb="15">
      <t>セッテイ</t>
    </rPh>
    <phoneticPr fontId="1"/>
  </si>
  <si>
    <t>GameObject</t>
    <phoneticPr fontId="1"/>
  </si>
  <si>
    <t>Actor</t>
    <phoneticPr fontId="1"/>
  </si>
  <si>
    <t>Player</t>
    <phoneticPr fontId="1"/>
  </si>
  <si>
    <t>Enemy</t>
    <phoneticPr fontId="1"/>
  </si>
  <si>
    <t>Item</t>
    <phoneticPr fontId="1"/>
  </si>
  <si>
    <t>↓継承</t>
    <rPh sb="1" eb="3">
      <t>ケイショウ</t>
    </rPh>
    <phoneticPr fontId="1"/>
  </si>
  <si>
    <t>→継承</t>
    <rPh sb="1" eb="3">
      <t>ケイショウ</t>
    </rPh>
    <phoneticPr fontId="1"/>
  </si>
  <si>
    <t>ゲーム内のすべてのオブジェクトの基底クラス。Transformのみ持つ</t>
    <rPh sb="3" eb="4">
      <t>ナイ</t>
    </rPh>
    <rPh sb="16" eb="18">
      <t>キテイ</t>
    </rPh>
    <rPh sb="33" eb="34">
      <t>モ</t>
    </rPh>
    <phoneticPr fontId="1"/>
  </si>
  <si>
    <t>↑継承</t>
    <rPh sb="1" eb="3">
      <t>ケイショウ</t>
    </rPh>
    <phoneticPr fontId="1"/>
  </si>
  <si>
    <t>Camera</t>
    <phoneticPr fontId="1"/>
  </si>
  <si>
    <t>ゲーム内のキャラクターなどの基底クラス。Transform,Physicsを持つ</t>
    <rPh sb="3" eb="4">
      <t>ナイ</t>
    </rPh>
    <rPh sb="14" eb="16">
      <t>キテイ</t>
    </rPh>
    <rPh sb="38" eb="39">
      <t>モ</t>
    </rPh>
    <phoneticPr fontId="1"/>
  </si>
  <si>
    <t>Actorを継承したクラス</t>
    <rPh sb="6" eb="8">
      <t>ケイショウ</t>
    </rPh>
    <phoneticPr fontId="1"/>
  </si>
  <si>
    <t>ゲーム内のステージなどの障害物を表すクラス。Transformを持ち、Collidableは持ってたり持ってなかったりする</t>
    <rPh sb="3" eb="4">
      <t>ナイ</t>
    </rPh>
    <rPh sb="12" eb="15">
      <t>ショウガイブツ</t>
    </rPh>
    <rPh sb="16" eb="17">
      <t>アラワ</t>
    </rPh>
    <rPh sb="32" eb="33">
      <t>モ</t>
    </rPh>
    <rPh sb="46" eb="47">
      <t>モ</t>
    </rPh>
    <rPh sb="51" eb="52">
      <t>モ</t>
    </rPh>
    <phoneticPr fontId="1"/>
  </si>
  <si>
    <t>StageObject</t>
    <phoneticPr fontId="1"/>
  </si>
  <si>
    <t>ゲーム内に登場するキャラクターなどの最下層の派生クラス。Collidableを持ってたり持ってなかったりする</t>
    <rPh sb="3" eb="4">
      <t>ナイ</t>
    </rPh>
    <rPh sb="5" eb="7">
      <t>トウジョウ</t>
    </rPh>
    <rPh sb="18" eb="21">
      <t>サイカソウ</t>
    </rPh>
    <rPh sb="22" eb="24">
      <t>ハセイ</t>
    </rPh>
    <rPh sb="39" eb="40">
      <t>モ</t>
    </rPh>
    <rPh sb="44" eb="45">
      <t>モ</t>
    </rPh>
    <phoneticPr fontId="1"/>
  </si>
  <si>
    <t>ゲーム内のカメラを表すクラス。Transformのみ持つ</t>
    <rPh sb="3" eb="4">
      <t>ナイ</t>
    </rPh>
    <rPh sb="9" eb="10">
      <t>アラワ</t>
    </rPh>
    <rPh sb="26" eb="27">
      <t>モ</t>
    </rPh>
    <phoneticPr fontId="1"/>
  </si>
  <si>
    <t>懸念点：あんまり動かないGameObjectにはPhysicsを持たせたくないが、押し戻し処理をするなら大抵のオブジェクトがPhysicsを持たなければならなくなる気がする。</t>
    <rPh sb="0" eb="3">
      <t>ケネンテン</t>
    </rPh>
    <rPh sb="8" eb="9">
      <t>ウゴ</t>
    </rPh>
    <rPh sb="32" eb="33">
      <t>モ</t>
    </rPh>
    <rPh sb="41" eb="42">
      <t>オ</t>
    </rPh>
    <rPh sb="52" eb="54">
      <t>タイテイ</t>
    </rPh>
    <rPh sb="70" eb="71">
      <t>モ</t>
    </rPh>
    <rPh sb="82" eb="83">
      <t>キ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</si>
  <si>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</si>
  <si>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</si>
  <si>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リソース周りの設計と実装を完了。プレイヤーとカメラ周りの実装を開始。アニメーション周りのクラスの実装に苦戦中。</t>
    <rPh sb="4" eb="5">
      <t>マワ</t>
    </rPh>
    <rPh sb="7" eb="9">
      <t>セッケイ</t>
    </rPh>
    <rPh sb="10" eb="12">
      <t>ジッソウ</t>
    </rPh>
    <rPh sb="13" eb="15">
      <t>カンリョウ</t>
    </rPh>
    <rPh sb="25" eb="26">
      <t>マワ</t>
    </rPh>
    <rPh sb="28" eb="30">
      <t>ジッソウ</t>
    </rPh>
    <rPh sb="31" eb="33">
      <t>カイシ</t>
    </rPh>
    <rPh sb="41" eb="42">
      <t>マワ</t>
    </rPh>
    <rPh sb="48" eb="50">
      <t>ジッソウ</t>
    </rPh>
    <rPh sb="51" eb="54">
      <t>クセンチュウ</t>
    </rPh>
    <phoneticPr fontId="1"/>
  </si>
  <si>
    <t>システム</t>
    <phoneticPr fontId="1"/>
  </si>
  <si>
    <t>ボーンの回転や上下で違うアニメーション再生に対応させる</t>
    <rPh sb="4" eb="6">
      <t>カイテン</t>
    </rPh>
    <rPh sb="7" eb="9">
      <t>ジョウゲ</t>
    </rPh>
    <rPh sb="10" eb="11">
      <t>チガ</t>
    </rPh>
    <rPh sb="19" eb="21">
      <t>サイセイ</t>
    </rPh>
    <rPh sb="22" eb="24">
      <t>タイオウ</t>
    </rPh>
    <phoneticPr fontId="1"/>
  </si>
  <si>
    <t>作業中</t>
  </si>
  <si>
    <t>Animator(全身のみ)、Physics、StateMachineを実装。コンポーネントを配列で管理し、Add/GetComponent()で管理するように。</t>
    <rPh sb="9" eb="11">
      <t>ゼンシン</t>
    </rPh>
    <rPh sb="36" eb="38">
      <t>ジッソウ</t>
    </rPh>
    <rPh sb="47" eb="49">
      <t>ハイレツ</t>
    </rPh>
    <rPh sb="50" eb="52">
      <t>カンリ</t>
    </rPh>
    <rPh sb="73" eb="75">
      <t>カンリ</t>
    </rPh>
    <phoneticPr fontId="1"/>
  </si>
  <si>
    <t>StateMachineにGetState&lt;T&gt;()を実装。Physicsに最高速度を設定する機能を追加。ダッシュの実装。AIにアニメーションを作らせる実験をしている</t>
    <rPh sb="27" eb="29">
      <t>ジッソウ</t>
    </rPh>
    <rPh sb="38" eb="42">
      <t>サイコウソクド</t>
    </rPh>
    <rPh sb="43" eb="45">
      <t>セッテイ</t>
    </rPh>
    <rPh sb="47" eb="49">
      <t>キノウ</t>
    </rPh>
    <rPh sb="50" eb="52">
      <t>ツイカ</t>
    </rPh>
    <rPh sb="58" eb="60">
      <t>ジッソウ</t>
    </rPh>
    <rPh sb="72" eb="73">
      <t>ツク</t>
    </rPh>
    <rPh sb="76" eb="78">
      <t>ジッケン</t>
    </rPh>
    <phoneticPr fontId="1"/>
  </si>
  <si>
    <t>当たり判定周りのクラスを実装。CollisionManagerとphysicsの押し戻し処理を実装中</t>
    <rPh sb="0" eb="1">
      <t>ア</t>
    </rPh>
    <rPh sb="3" eb="5">
      <t>ハンテイ</t>
    </rPh>
    <rPh sb="5" eb="6">
      <t>マワ</t>
    </rPh>
    <rPh sb="12" eb="14">
      <t>ジッソウ</t>
    </rPh>
    <rPh sb="40" eb="41">
      <t>オ</t>
    </rPh>
    <rPh sb="47" eb="50">
      <t>ジッソウチュウ</t>
    </rPh>
    <phoneticPr fontId="1"/>
  </si>
  <si>
    <t>押し戻し処理、ジャンプ、アニメーションの部位別ブレンド実装</t>
    <rPh sb="0" eb="1">
      <t>オ</t>
    </rPh>
    <rPh sb="20" eb="23">
      <t>ブイベツ</t>
    </rPh>
    <rPh sb="27" eb="29">
      <t>ジッソウ</t>
    </rPh>
    <phoneticPr fontId="1"/>
  </si>
  <si>
    <t>日ごとの消化コスト</t>
    <rPh sb="0" eb="1">
      <t>ヒ</t>
    </rPh>
    <rPh sb="4" eb="6">
      <t>ショウカ</t>
    </rPh>
    <phoneticPr fontId="1"/>
  </si>
  <si>
    <t>プロト</t>
  </si>
  <si>
    <t>アルファ</t>
  </si>
  <si>
    <t>完了</t>
  </si>
  <si>
    <t>締切日</t>
    <rPh sb="0" eb="1">
      <t>シ</t>
    </rPh>
    <rPh sb="1" eb="2">
      <t>キ</t>
    </rPh>
    <rPh sb="2" eb="3">
      <t>ビ</t>
    </rPh>
    <phoneticPr fontId="1"/>
  </si>
  <si>
    <t>攻撃</t>
    <rPh sb="0" eb="2">
      <t>コウゲキ</t>
    </rPh>
    <phoneticPr fontId="1"/>
  </si>
  <si>
    <t>S</t>
  </si>
  <si>
    <t>ヒットボックス</t>
    <phoneticPr fontId="1"/>
  </si>
  <si>
    <t>ボーンに合わせて動くようにする</t>
    <rPh sb="4" eb="5">
      <t>ア</t>
    </rPh>
    <rPh sb="8" eb="9">
      <t>ウゴ</t>
    </rPh>
    <phoneticPr fontId="1"/>
  </si>
  <si>
    <t>腰うち</t>
    <rPh sb="0" eb="1">
      <t>コシ</t>
    </rPh>
    <phoneticPr fontId="1"/>
  </si>
  <si>
    <t>エイム射撃</t>
    <rPh sb="3" eb="5">
      <t>シャゲキ</t>
    </rPh>
    <phoneticPr fontId="1"/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</si>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</sst>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56" fontId="0" fillId="0" borderId="0" xfId="0" applyNumberFormat="1">
      <alignment vertical="center"/>
    </xf>
    <xf numFmtId="0" fontId="2" fillId="0" borderId="1" xfId="1" applyBorder="1">
      <alignment vertical="center"/>
    </xf>
    <xf numFmtId="0" fontId="2" fillId="0" borderId="0" xfId="1">
      <alignment vertical="center"/>
    </xf>
    <xf numFmtId="0" fontId="2" fillId="6" borderId="0" xfId="1" applyFill="1">
      <alignment vertical="center"/>
    </xf>
    <xf numFmtId="0" fontId="2" fillId="5" borderId="0" xfId="1" applyFill="1">
      <alignment vertical="center"/>
    </xf>
    <xf numFmtId="0" fontId="2" fillId="4" borderId="0" xfId="1" applyFill="1">
      <alignment vertical="center"/>
    </xf>
    <xf numFmtId="0" fontId="2" fillId="3" borderId="0" xfId="1" applyFill="1">
      <alignment vertical="center"/>
    </xf>
    <xf numFmtId="0" fontId="2" fillId="6" borderId="1" xfId="1" applyFill="1" applyBorder="1">
      <alignment vertical="center"/>
    </xf>
    <xf numFmtId="0" fontId="2" fillId="2" borderId="0" xfId="1" applyFill="1">
      <alignment vertical="center"/>
    </xf>
    <xf numFmtId="0" fontId="2" fillId="0" borderId="2" xfId="1" applyBorder="1">
      <alignment vertical="center"/>
    </xf>
    <xf numFmtId="0" fontId="2" fillId="5" borderId="1" xfId="1" applyFill="1" applyBorder="1">
      <alignment vertical="center"/>
    </xf>
    <xf numFmtId="0" fontId="2" fillId="4" borderId="1" xfId="1" applyFill="1" applyBorder="1">
      <alignment vertical="center"/>
    </xf>
    <xf numFmtId="0" fontId="2" fillId="7" borderId="1" xfId="1" applyFill="1" applyBorder="1">
      <alignment vertical="center"/>
    </xf>
    <xf numFmtId="0" fontId="2" fillId="2" borderId="1" xfId="1" applyFill="1" applyBorder="1">
      <alignment vertical="center"/>
    </xf>
    <xf numFmtId="56" fontId="0" fillId="0" borderId="9" xfId="0" applyNumberFormat="1" applyBorder="1">
      <alignment vertical="center"/>
    </xf>
    <xf numFmtId="0" fontId="3" fillId="8" borderId="4" xfId="0" applyFont="1" applyFill="1" applyBorder="1">
      <alignment vertical="center"/>
    </xf>
    <xf numFmtId="0" fontId="3" fillId="8" borderId="5" xfId="0" applyFont="1" applyFill="1" applyBorder="1">
      <alignment vertical="center"/>
    </xf>
    <xf numFmtId="0" fontId="0" fillId="9" borderId="4" xfId="0" applyFill="1" applyBorder="1">
      <alignment vertical="center"/>
    </xf>
    <xf numFmtId="0" fontId="0" fillId="10" borderId="3" xfId="0" applyFill="1" applyBorder="1">
      <alignment vertical="center"/>
    </xf>
    <xf numFmtId="0" fontId="0" fillId="10" borderId="4" xfId="0" applyFill="1" applyBorder="1">
      <alignment vertical="center"/>
    </xf>
    <xf numFmtId="0" fontId="4" fillId="10" borderId="3" xfId="0" applyFont="1" applyFill="1" applyBorder="1">
      <alignment vertical="center"/>
    </xf>
  </cellXfs>
  <cellStyles count="2">
    <cellStyle name="標準" xfId="0" builtinId="0"/>
    <cellStyle name="標準 2" xfId="1" xr:uid="{FB278484-40FB-45F9-B5B5-DF6D416C6BC3}"/>
  </cellStyles>
  <dxfs count="14">
    <dxf>
      <font>
        <b/>
        <color rgb="FFFFFFFF"/>
      </font>
      <fill>
        <patternFill patternType="solid">
          <bgColor rgb="FF233B53"/>
        </patternFill>
      </fill>
    </dxf>
    <dxf>
      <font>
        <b/>
        <color rgb="FF275D38"/>
      </font>
      <fill>
        <patternFill patternType="solid">
          <bgColor rgb="FFD9EAD3"/>
        </patternFill>
      </fill>
    </dxf>
    <dxf>
      <font>
        <b/>
        <color rgb="FF806000"/>
      </font>
      <fill>
        <patternFill patternType="solid">
          <bgColor rgb="FFFFF2CC"/>
        </patternFill>
      </fill>
    </dxf>
    <dxf>
      <font>
        <b/>
        <color rgb="FF536273"/>
      </font>
      <fill>
        <patternFill patternType="solid">
          <bgColor rgb="FFE8EDF2"/>
        </patternFill>
      </fill>
    </dxf>
    <dxf>
      <font>
        <color rgb="FF375623"/>
      </font>
      <fill>
        <patternFill patternType="solid">
          <bgColor rgb="FFE2EFDA"/>
        </patternFill>
      </fill>
    </dxf>
    <dxf>
      <font>
        <color rgb="FF205C57"/>
      </font>
      <fill>
        <patternFill patternType="solid">
          <bgColor rgb="FFD9EDEB"/>
        </patternFill>
      </fill>
    </dxf>
    <dxf>
      <font>
        <color rgb="FF594080"/>
      </font>
      <fill>
        <patternFill patternType="solid">
          <bgColor rgb="FFE4DDF4"/>
        </patternFill>
      </fill>
    </dxf>
    <dxf>
      <font>
        <color rgb="FF1F4E79"/>
      </font>
      <fill>
        <patternFill patternType="solid">
          <bgColor rgb="FFDDEBF7"/>
        </patternFill>
      </fill>
    </dxf>
    <dxf>
      <font>
        <b/>
        <color rgb="FF44546A"/>
      </font>
      <fill>
        <patternFill patternType="solid">
          <bgColor rgb="FFE8EDF2"/>
        </patternFill>
      </fill>
    </dxf>
    <dxf>
      <font>
        <b/>
        <color rgb="FF735C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22B21"/>
      </font>
      <fill>
        <patternFill patternType="solid">
          <bgColor rgb="FFFADBD8"/>
        </patternFill>
      </fill>
    </dxf>
    <dxf>
      <font>
        <b/>
        <color rgb="FFFFFFFF"/>
      </font>
      <fill>
        <patternFill patternType="solid">
          <bgColor rgb="FF233B53"/>
        </patternFill>
      </fill>
    </dxf>
    <dxf>
      <font>
        <b/>
        <color rgb="FF233B53"/>
      </font>
      <fill>
        <patternFill patternType="solid">
          <bgColor rgb="FFEAF0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97B6-151B-4EA1-9333-74289FAB3663}">
  <dimension ref="A1:M61"/>
  <sheetViews>
    <sheetView tabSelected="1" workbookViewId="0">
      <selection activeCell="I18" sqref="I18"/>
    </sheetView>
  </sheetViews>
  <sheetFormatPr defaultRowHeight="18.75" x14ac:dyDescent="0.4"/>
  <cols>
    <col min="1" max="1" width="17.125" bestFit="1" customWidth="1"/>
    <col min="2" max="2" width="23.5" bestFit="1" customWidth="1"/>
    <col min="3" max="3" width="56.75" bestFit="1" customWidth="1"/>
    <col min="11" max="11" width="9.25" bestFit="1" customWidth="1"/>
    <col min="12" max="12" width="11" bestFit="1" customWidth="1"/>
    <col min="13" max="13" width="13" bestFit="1" customWidth="1"/>
    <col min="14" max="14" width="7.125" bestFit="1" customWidth="1"/>
  </cols>
  <sheetData>
    <row r="1" spans="1:13" x14ac:dyDescent="0.4">
      <c r="A1" t="s">
        <v>67</v>
      </c>
      <c r="B1" t="s">
        <v>68</v>
      </c>
    </row>
    <row r="2" spans="1:13" ht="19.5" thickBot="1" x14ac:dyDescent="0.45"/>
    <row r="3" spans="1:13" ht="19.5" thickBot="1" x14ac:dyDescent="0.45">
      <c r="A3" s="9" t="s">
        <v>59</v>
      </c>
      <c r="B3" s="10" t="s">
        <v>60</v>
      </c>
      <c r="C3" s="11" t="s">
        <v>75</v>
      </c>
      <c r="D3" s="1" t="s">
        <v>62</v>
      </c>
      <c r="E3" s="2" t="s">
        <v>63</v>
      </c>
      <c r="F3" s="2" t="s">
        <v>64</v>
      </c>
      <c r="G3" s="2" t="s">
        <v>65</v>
      </c>
      <c r="H3" s="3" t="s">
        <v>66</v>
      </c>
      <c r="J3" s="1"/>
      <c r="K3" s="2" t="s">
        <v>87</v>
      </c>
      <c r="L3" s="2" t="s">
        <v>101</v>
      </c>
      <c r="M3" s="3" t="s">
        <v>100</v>
      </c>
    </row>
    <row r="4" spans="1:13" x14ac:dyDescent="0.4">
      <c r="A4" s="1" t="s">
        <v>31</v>
      </c>
      <c r="B4" s="2"/>
      <c r="C4" s="29"/>
      <c r="D4" s="1"/>
      <c r="E4" s="2"/>
      <c r="F4" s="2"/>
      <c r="G4" s="2"/>
      <c r="H4" s="3"/>
      <c r="J4" s="4" t="s">
        <v>88</v>
      </c>
      <c r="K4">
        <f>SUM(F4:F114)</f>
        <v>225</v>
      </c>
      <c r="L4">
        <f>SUMIFS(G4:G114,H4:H114,"完了")</f>
        <v>61.5</v>
      </c>
      <c r="M4" s="5">
        <f>K4 - L4</f>
        <v>163.5</v>
      </c>
    </row>
    <row r="5" spans="1:13" x14ac:dyDescent="0.4">
      <c r="A5" s="4"/>
      <c r="B5" t="s">
        <v>47</v>
      </c>
      <c r="D5" s="4" t="s">
        <v>69</v>
      </c>
      <c r="E5" t="s">
        <v>4</v>
      </c>
      <c r="F5">
        <v>3</v>
      </c>
      <c r="G5">
        <v>3</v>
      </c>
      <c r="H5" s="5" t="s">
        <v>175</v>
      </c>
      <c r="J5" s="4"/>
      <c r="M5" s="5"/>
    </row>
    <row r="6" spans="1:13" x14ac:dyDescent="0.4">
      <c r="A6" s="4"/>
      <c r="B6" t="s">
        <v>48</v>
      </c>
      <c r="D6" s="4" t="s">
        <v>69</v>
      </c>
      <c r="E6" t="s">
        <v>84</v>
      </c>
      <c r="F6">
        <v>1</v>
      </c>
      <c r="G6">
        <v>1</v>
      </c>
      <c r="H6" s="5" t="s">
        <v>175</v>
      </c>
      <c r="J6" s="4" t="s">
        <v>84</v>
      </c>
      <c r="K6">
        <f>SUMIFS(F4:F114,E4:E114,"プロト")</f>
        <v>144</v>
      </c>
      <c r="L6">
        <f>SUMIFS(G4:G114,H4:H114,"完了",E4:E114,"プロト")</f>
        <v>61.5</v>
      </c>
      <c r="M6" s="5">
        <f t="shared" ref="M6:M8" si="0">K6 - L6</f>
        <v>82.5</v>
      </c>
    </row>
    <row r="7" spans="1:13" x14ac:dyDescent="0.4">
      <c r="A7" s="4"/>
      <c r="B7" t="s">
        <v>49</v>
      </c>
      <c r="D7" s="4" t="s">
        <v>69</v>
      </c>
      <c r="E7" t="s">
        <v>84</v>
      </c>
      <c r="F7">
        <v>2</v>
      </c>
      <c r="G7">
        <v>2</v>
      </c>
      <c r="H7" s="5" t="s">
        <v>175</v>
      </c>
      <c r="J7" s="4" t="s">
        <v>85</v>
      </c>
      <c r="K7">
        <f>SUMIFS(F4:F114,E4:E114,"アルファ")</f>
        <v>72</v>
      </c>
      <c r="L7">
        <f>SUMIFS(G4:G114,H4:H114,"完了",E4:E114,"アルファ")</f>
        <v>0</v>
      </c>
      <c r="M7" s="5">
        <f t="shared" si="0"/>
        <v>72</v>
      </c>
    </row>
    <row r="8" spans="1:13" ht="19.5" thickBot="1" x14ac:dyDescent="0.45">
      <c r="A8" s="4"/>
      <c r="B8" t="s">
        <v>50</v>
      </c>
      <c r="D8" s="4" t="s">
        <v>69</v>
      </c>
      <c r="E8" t="s">
        <v>84</v>
      </c>
      <c r="F8">
        <v>3</v>
      </c>
      <c r="G8">
        <v>2</v>
      </c>
      <c r="H8" s="5" t="s">
        <v>175</v>
      </c>
      <c r="J8" s="6" t="s">
        <v>86</v>
      </c>
      <c r="K8" s="7">
        <f>SUMIFS(F4:F114,E4:E114,"ベータ")</f>
        <v>9</v>
      </c>
      <c r="L8" s="7">
        <f>SUMIFS(G4:G114,H4:H114,"完了",E4:E114,"ベータ")</f>
        <v>0</v>
      </c>
      <c r="M8" s="8">
        <f t="shared" si="0"/>
        <v>9</v>
      </c>
    </row>
    <row r="9" spans="1:13" ht="19.5" thickBot="1" x14ac:dyDescent="0.45">
      <c r="A9" s="6"/>
      <c r="B9" s="7" t="s">
        <v>177</v>
      </c>
      <c r="C9" s="7"/>
      <c r="D9" s="6" t="s">
        <v>178</v>
      </c>
      <c r="E9" s="7" t="s">
        <v>173</v>
      </c>
      <c r="F9" s="7">
        <v>3</v>
      </c>
      <c r="G9" s="7">
        <v>2</v>
      </c>
      <c r="H9" s="8" t="s">
        <v>175</v>
      </c>
    </row>
    <row r="10" spans="1:13" x14ac:dyDescent="0.4">
      <c r="A10" s="4" t="s">
        <v>28</v>
      </c>
      <c r="D10" s="4"/>
      <c r="H10" s="5"/>
    </row>
    <row r="11" spans="1:13" ht="19.5" thickBot="1" x14ac:dyDescent="0.45">
      <c r="A11" s="4"/>
      <c r="B11" t="s">
        <v>33</v>
      </c>
      <c r="D11" s="4" t="s">
        <v>69</v>
      </c>
      <c r="E11" t="s">
        <v>4</v>
      </c>
      <c r="F11">
        <v>2</v>
      </c>
      <c r="G11">
        <v>2</v>
      </c>
      <c r="H11" s="5" t="s">
        <v>175</v>
      </c>
    </row>
    <row r="12" spans="1:13" x14ac:dyDescent="0.4">
      <c r="A12" s="4"/>
      <c r="B12" t="s">
        <v>34</v>
      </c>
      <c r="D12" s="4" t="s">
        <v>69</v>
      </c>
      <c r="E12" t="s">
        <v>84</v>
      </c>
      <c r="F12">
        <v>1</v>
      </c>
      <c r="G12">
        <v>1</v>
      </c>
      <c r="H12" s="5" t="s">
        <v>175</v>
      </c>
      <c r="J12" s="1"/>
      <c r="K12" s="27" t="s">
        <v>176</v>
      </c>
      <c r="L12" s="27" t="s">
        <v>172</v>
      </c>
      <c r="M12" s="28"/>
    </row>
    <row r="13" spans="1:13" x14ac:dyDescent="0.4">
      <c r="A13" s="4"/>
      <c r="B13" t="s">
        <v>76</v>
      </c>
      <c r="D13" s="4" t="s">
        <v>81</v>
      </c>
      <c r="E13" t="s">
        <v>84</v>
      </c>
      <c r="F13">
        <v>2</v>
      </c>
      <c r="G13">
        <v>2</v>
      </c>
      <c r="H13" s="5" t="s">
        <v>175</v>
      </c>
      <c r="J13" s="4" t="s">
        <v>88</v>
      </c>
      <c r="K13" s="12">
        <v>46387</v>
      </c>
      <c r="L13">
        <f ca="1">K4 / (DATE(2026,12,31) - TODAY())</f>
        <v>3.0821917808219177</v>
      </c>
      <c r="M13" s="5"/>
    </row>
    <row r="14" spans="1:13" x14ac:dyDescent="0.4">
      <c r="A14" s="4"/>
      <c r="B14" t="s">
        <v>35</v>
      </c>
      <c r="D14" s="4" t="s">
        <v>69</v>
      </c>
      <c r="E14" t="s">
        <v>84</v>
      </c>
      <c r="F14">
        <v>1</v>
      </c>
      <c r="G14">
        <v>2</v>
      </c>
      <c r="H14" s="5" t="s">
        <v>175</v>
      </c>
      <c r="J14" s="4" t="s">
        <v>4</v>
      </c>
      <c r="K14" s="12">
        <v>46326</v>
      </c>
      <c r="L14">
        <f ca="1" xml:space="preserve"> (K6 - L6) / (DATE(2026,10,31) - TODAY())</f>
        <v>6.875</v>
      </c>
      <c r="M14" s="5"/>
    </row>
    <row r="15" spans="1:13" x14ac:dyDescent="0.4">
      <c r="A15" s="4"/>
      <c r="B15" t="s">
        <v>36</v>
      </c>
      <c r="D15" s="4" t="s">
        <v>69</v>
      </c>
      <c r="E15" t="s">
        <v>84</v>
      </c>
      <c r="F15">
        <v>10</v>
      </c>
      <c r="G15">
        <v>2</v>
      </c>
      <c r="H15" s="5" t="s">
        <v>175</v>
      </c>
      <c r="J15" s="4" t="s">
        <v>5</v>
      </c>
      <c r="K15" s="12">
        <v>46351</v>
      </c>
      <c r="L15">
        <f ca="1" xml:space="preserve"> (K7 - L7) / (DATE(2026,11,25) - TODAY())</f>
        <v>1.9459459459459461</v>
      </c>
      <c r="M15" s="5"/>
    </row>
    <row r="16" spans="1:13" ht="19.5" thickBot="1" x14ac:dyDescent="0.45">
      <c r="A16" s="4"/>
      <c r="B16" t="s">
        <v>182</v>
      </c>
      <c r="D16" s="4" t="s">
        <v>69</v>
      </c>
      <c r="E16" t="s">
        <v>84</v>
      </c>
      <c r="F16">
        <v>5</v>
      </c>
      <c r="G16">
        <v>3</v>
      </c>
      <c r="H16" s="5" t="s">
        <v>175</v>
      </c>
      <c r="J16" s="6" t="s">
        <v>6</v>
      </c>
      <c r="K16" s="26">
        <v>46372</v>
      </c>
      <c r="L16" s="7">
        <f ca="1" xml:space="preserve"> (K8 - L8) / (DATE(2026,12,16) - TODAY())</f>
        <v>0.15517241379310345</v>
      </c>
      <c r="M16" s="8"/>
    </row>
    <row r="17" spans="1:11" x14ac:dyDescent="0.4">
      <c r="A17" s="4"/>
      <c r="B17" t="s">
        <v>181</v>
      </c>
      <c r="D17" s="4" t="s">
        <v>183</v>
      </c>
      <c r="E17" t="s">
        <v>173</v>
      </c>
      <c r="F17">
        <v>5</v>
      </c>
      <c r="G17">
        <v>2.5</v>
      </c>
      <c r="H17" s="5" t="s">
        <v>175</v>
      </c>
      <c r="K17" s="12"/>
    </row>
    <row r="18" spans="1:11" ht="19.5" thickBot="1" x14ac:dyDescent="0.45">
      <c r="A18" s="6"/>
      <c r="B18" s="7" t="s">
        <v>72</v>
      </c>
      <c r="C18" s="7"/>
      <c r="D18" s="6" t="s">
        <v>81</v>
      </c>
      <c r="E18" s="7" t="s">
        <v>174</v>
      </c>
      <c r="F18" s="7">
        <v>5</v>
      </c>
      <c r="G18" s="7"/>
      <c r="H18" s="8" t="s">
        <v>102</v>
      </c>
    </row>
    <row r="19" spans="1:11" x14ac:dyDescent="0.4">
      <c r="A19" s="4" t="s">
        <v>70</v>
      </c>
      <c r="D19" s="1"/>
      <c r="E19" s="2"/>
      <c r="F19" s="2"/>
      <c r="G19" s="2"/>
      <c r="H19" s="3"/>
    </row>
    <row r="20" spans="1:11" x14ac:dyDescent="0.4">
      <c r="A20" s="4"/>
      <c r="B20" t="s">
        <v>71</v>
      </c>
      <c r="D20" s="4" t="s">
        <v>69</v>
      </c>
      <c r="E20" t="s">
        <v>4</v>
      </c>
      <c r="F20">
        <v>7</v>
      </c>
      <c r="G20">
        <v>4</v>
      </c>
      <c r="H20" s="5" t="s">
        <v>175</v>
      </c>
    </row>
    <row r="21" spans="1:11" ht="19.5" thickBot="1" x14ac:dyDescent="0.45">
      <c r="A21" s="4"/>
      <c r="B21" t="s">
        <v>36</v>
      </c>
      <c r="D21" s="6" t="s">
        <v>69</v>
      </c>
      <c r="E21" s="7" t="s">
        <v>4</v>
      </c>
      <c r="F21" s="7">
        <v>7</v>
      </c>
      <c r="G21" s="7">
        <v>1</v>
      </c>
      <c r="H21" s="8" t="s">
        <v>175</v>
      </c>
    </row>
    <row r="22" spans="1:11" x14ac:dyDescent="0.4">
      <c r="A22" s="1" t="s">
        <v>30</v>
      </c>
      <c r="B22" s="2"/>
      <c r="C22" s="2"/>
      <c r="D22" s="1"/>
      <c r="E22" s="2"/>
      <c r="F22" s="2"/>
      <c r="G22" s="2"/>
      <c r="H22" s="3"/>
    </row>
    <row r="23" spans="1:11" x14ac:dyDescent="0.4">
      <c r="A23" s="4"/>
      <c r="B23" t="s">
        <v>37</v>
      </c>
      <c r="C23" t="s">
        <v>77</v>
      </c>
      <c r="D23" s="4" t="s">
        <v>69</v>
      </c>
      <c r="E23" t="s">
        <v>4</v>
      </c>
      <c r="F23">
        <v>5</v>
      </c>
      <c r="G23">
        <v>1</v>
      </c>
      <c r="H23" s="5" t="s">
        <v>167</v>
      </c>
    </row>
    <row r="24" spans="1:11" x14ac:dyDescent="0.4">
      <c r="A24" s="4"/>
      <c r="B24" t="s">
        <v>33</v>
      </c>
      <c r="D24" s="4" t="s">
        <v>69</v>
      </c>
      <c r="E24" t="s">
        <v>84</v>
      </c>
      <c r="F24">
        <v>5</v>
      </c>
      <c r="G24">
        <v>1</v>
      </c>
      <c r="H24" s="5" t="s">
        <v>175</v>
      </c>
    </row>
    <row r="25" spans="1:11" x14ac:dyDescent="0.4">
      <c r="A25" s="4"/>
      <c r="B25" t="s">
        <v>38</v>
      </c>
      <c r="D25" s="4" t="s">
        <v>69</v>
      </c>
      <c r="E25" t="s">
        <v>84</v>
      </c>
      <c r="F25">
        <v>5</v>
      </c>
      <c r="G25">
        <v>1</v>
      </c>
      <c r="H25" s="5" t="s">
        <v>175</v>
      </c>
    </row>
    <row r="26" spans="1:11" ht="19.5" thickBot="1" x14ac:dyDescent="0.45">
      <c r="A26" s="6"/>
      <c r="B26" s="7" t="s">
        <v>39</v>
      </c>
      <c r="C26" s="7"/>
      <c r="D26" s="6" t="s">
        <v>69</v>
      </c>
      <c r="E26" s="7" t="s">
        <v>174</v>
      </c>
      <c r="F26" s="7">
        <v>5</v>
      </c>
      <c r="G26" s="7"/>
      <c r="H26" s="8" t="s">
        <v>102</v>
      </c>
    </row>
    <row r="27" spans="1:11" x14ac:dyDescent="0.4">
      <c r="A27" s="1" t="s">
        <v>29</v>
      </c>
      <c r="B27" s="2"/>
      <c r="C27" s="2"/>
      <c r="D27" s="1"/>
      <c r="E27" s="2"/>
      <c r="F27" s="2"/>
      <c r="G27" s="2"/>
      <c r="H27" s="3"/>
    </row>
    <row r="28" spans="1:11" x14ac:dyDescent="0.4">
      <c r="A28" s="4"/>
      <c r="B28" t="s">
        <v>74</v>
      </c>
      <c r="D28" s="4" t="s">
        <v>69</v>
      </c>
      <c r="E28" t="s">
        <v>4</v>
      </c>
      <c r="F28">
        <v>4</v>
      </c>
      <c r="G28">
        <v>1</v>
      </c>
      <c r="H28" s="5" t="s">
        <v>175</v>
      </c>
    </row>
    <row r="29" spans="1:11" x14ac:dyDescent="0.4">
      <c r="A29" s="4"/>
      <c r="B29" t="s">
        <v>73</v>
      </c>
      <c r="D29" s="4" t="s">
        <v>69</v>
      </c>
      <c r="E29" t="s">
        <v>84</v>
      </c>
      <c r="F29">
        <v>4</v>
      </c>
      <c r="G29">
        <v>4</v>
      </c>
      <c r="H29" s="5" t="s">
        <v>175</v>
      </c>
    </row>
    <row r="30" spans="1:11" x14ac:dyDescent="0.4">
      <c r="A30" s="4"/>
      <c r="B30" t="s">
        <v>40</v>
      </c>
      <c r="D30" s="4" t="s">
        <v>69</v>
      </c>
      <c r="E30" t="s">
        <v>85</v>
      </c>
      <c r="F30">
        <v>4</v>
      </c>
      <c r="H30" s="5" t="s">
        <v>102</v>
      </c>
    </row>
    <row r="31" spans="1:11" x14ac:dyDescent="0.4">
      <c r="A31" s="4"/>
      <c r="B31" t="s">
        <v>41</v>
      </c>
      <c r="D31" s="4" t="s">
        <v>80</v>
      </c>
      <c r="E31" t="s">
        <v>85</v>
      </c>
      <c r="F31">
        <v>4</v>
      </c>
      <c r="H31" s="5" t="s">
        <v>102</v>
      </c>
    </row>
    <row r="32" spans="1:11" x14ac:dyDescent="0.4">
      <c r="A32" s="4"/>
      <c r="B32" t="s">
        <v>42</v>
      </c>
      <c r="D32" s="4" t="s">
        <v>69</v>
      </c>
      <c r="E32" t="s">
        <v>84</v>
      </c>
      <c r="F32">
        <v>7</v>
      </c>
      <c r="H32" s="5" t="s">
        <v>102</v>
      </c>
    </row>
    <row r="33" spans="1:8" x14ac:dyDescent="0.4">
      <c r="A33" s="4"/>
      <c r="B33" t="s">
        <v>43</v>
      </c>
      <c r="D33" s="4" t="s">
        <v>80</v>
      </c>
      <c r="E33" t="s">
        <v>85</v>
      </c>
      <c r="F33">
        <v>5</v>
      </c>
      <c r="H33" s="5" t="s">
        <v>102</v>
      </c>
    </row>
    <row r="34" spans="1:8" ht="19.5" thickBot="1" x14ac:dyDescent="0.45">
      <c r="A34" s="6"/>
      <c r="B34" s="7" t="s">
        <v>44</v>
      </c>
      <c r="C34" s="7"/>
      <c r="D34" s="6" t="s">
        <v>80</v>
      </c>
      <c r="E34" s="7" t="s">
        <v>85</v>
      </c>
      <c r="F34" s="7">
        <v>5</v>
      </c>
      <c r="G34" s="7"/>
      <c r="H34" s="8" t="s">
        <v>102</v>
      </c>
    </row>
    <row r="35" spans="1:8" x14ac:dyDescent="0.4">
      <c r="A35" s="1" t="s">
        <v>45</v>
      </c>
      <c r="B35" s="2"/>
      <c r="C35" s="2"/>
      <c r="D35" s="1"/>
      <c r="E35" s="2"/>
      <c r="F35" s="2"/>
      <c r="G35" s="2"/>
      <c r="H35" s="3"/>
    </row>
    <row r="36" spans="1:8" x14ac:dyDescent="0.4">
      <c r="A36" s="4"/>
      <c r="B36" t="s">
        <v>51</v>
      </c>
      <c r="D36" s="4" t="s">
        <v>69</v>
      </c>
      <c r="E36" t="s">
        <v>4</v>
      </c>
      <c r="F36">
        <v>10</v>
      </c>
      <c r="H36" s="5" t="s">
        <v>102</v>
      </c>
    </row>
    <row r="37" spans="1:8" x14ac:dyDescent="0.4">
      <c r="A37" s="4"/>
      <c r="B37" t="s">
        <v>52</v>
      </c>
      <c r="D37" s="4" t="s">
        <v>80</v>
      </c>
      <c r="E37" t="s">
        <v>85</v>
      </c>
      <c r="F37">
        <v>10</v>
      </c>
      <c r="H37" s="5" t="s">
        <v>102</v>
      </c>
    </row>
    <row r="38" spans="1:8" ht="19.5" thickBot="1" x14ac:dyDescent="0.45">
      <c r="A38" s="6"/>
      <c r="B38" s="7" t="s">
        <v>53</v>
      </c>
      <c r="C38" s="7"/>
      <c r="D38" s="6" t="s">
        <v>80</v>
      </c>
      <c r="E38" s="7" t="s">
        <v>85</v>
      </c>
      <c r="F38" s="7">
        <v>10</v>
      </c>
      <c r="G38" s="7"/>
      <c r="H38" s="8" t="s">
        <v>102</v>
      </c>
    </row>
    <row r="39" spans="1:8" x14ac:dyDescent="0.4">
      <c r="A39" s="1" t="s">
        <v>165</v>
      </c>
      <c r="B39" s="2"/>
      <c r="C39" s="2"/>
      <c r="D39" s="1"/>
      <c r="E39" s="2"/>
      <c r="F39" s="2"/>
      <c r="G39" s="2"/>
      <c r="H39" s="3"/>
    </row>
    <row r="40" spans="1:8" x14ac:dyDescent="0.4">
      <c r="A40" s="4"/>
      <c r="B40" t="s">
        <v>56</v>
      </c>
      <c r="C40" t="s">
        <v>166</v>
      </c>
      <c r="D40" s="4" t="s">
        <v>69</v>
      </c>
      <c r="E40" t="s">
        <v>4</v>
      </c>
      <c r="F40">
        <v>5</v>
      </c>
      <c r="G40">
        <v>8</v>
      </c>
      <c r="H40" s="5" t="s">
        <v>175</v>
      </c>
    </row>
    <row r="41" spans="1:8" ht="19.5" thickBot="1" x14ac:dyDescent="0.45">
      <c r="A41" s="6"/>
      <c r="B41" s="7" t="s">
        <v>179</v>
      </c>
      <c r="C41" s="7" t="s">
        <v>180</v>
      </c>
      <c r="D41" s="6" t="s">
        <v>178</v>
      </c>
      <c r="E41" s="7" t="s">
        <v>173</v>
      </c>
      <c r="F41" s="7">
        <v>5</v>
      </c>
      <c r="G41" s="7">
        <v>3</v>
      </c>
      <c r="H41" s="8" t="s">
        <v>175</v>
      </c>
    </row>
    <row r="42" spans="1:8" ht="19.5" thickBot="1" x14ac:dyDescent="0.45">
      <c r="A42" s="6" t="s">
        <v>46</v>
      </c>
      <c r="B42" s="7"/>
      <c r="C42" s="8"/>
      <c r="D42" s="4" t="s">
        <v>69</v>
      </c>
      <c r="E42" t="s">
        <v>84</v>
      </c>
      <c r="F42">
        <v>15</v>
      </c>
      <c r="G42">
        <v>10</v>
      </c>
      <c r="H42" s="5" t="s">
        <v>175</v>
      </c>
    </row>
    <row r="43" spans="1:8" x14ac:dyDescent="0.4">
      <c r="A43" s="1" t="s">
        <v>54</v>
      </c>
      <c r="B43" s="2"/>
      <c r="C43" s="2"/>
      <c r="D43" s="1"/>
      <c r="E43" s="2"/>
      <c r="F43" s="2"/>
      <c r="G43" s="2"/>
      <c r="H43" s="3"/>
    </row>
    <row r="44" spans="1:8" x14ac:dyDescent="0.4">
      <c r="A44" s="4"/>
      <c r="B44" t="s">
        <v>55</v>
      </c>
      <c r="D44" s="4" t="s">
        <v>69</v>
      </c>
      <c r="E44" t="s">
        <v>4</v>
      </c>
      <c r="F44">
        <v>5</v>
      </c>
      <c r="H44" s="5" t="s">
        <v>167</v>
      </c>
    </row>
    <row r="45" spans="1:8" x14ac:dyDescent="0.4">
      <c r="A45" s="4"/>
      <c r="B45" t="s">
        <v>56</v>
      </c>
      <c r="D45" s="4" t="s">
        <v>69</v>
      </c>
      <c r="E45" t="s">
        <v>84</v>
      </c>
      <c r="F45">
        <v>5</v>
      </c>
      <c r="H45" s="5" t="s">
        <v>167</v>
      </c>
    </row>
    <row r="46" spans="1:8" x14ac:dyDescent="0.4">
      <c r="A46" s="4"/>
      <c r="B46" t="s">
        <v>57</v>
      </c>
      <c r="D46" s="4" t="s">
        <v>69</v>
      </c>
      <c r="E46" t="s">
        <v>85</v>
      </c>
      <c r="F46">
        <v>5</v>
      </c>
      <c r="H46" s="5" t="s">
        <v>102</v>
      </c>
    </row>
    <row r="47" spans="1:8" ht="19.5" thickBot="1" x14ac:dyDescent="0.45">
      <c r="A47" s="6"/>
      <c r="B47" s="7" t="s">
        <v>58</v>
      </c>
      <c r="C47" s="7"/>
      <c r="D47" s="6" t="s">
        <v>69</v>
      </c>
      <c r="E47" s="7" t="s">
        <v>86</v>
      </c>
      <c r="F47" s="7">
        <v>5</v>
      </c>
      <c r="G47" s="7"/>
      <c r="H47" s="8" t="s">
        <v>102</v>
      </c>
    </row>
    <row r="48" spans="1:8" x14ac:dyDescent="0.4">
      <c r="A48" s="30" t="s">
        <v>61</v>
      </c>
      <c r="B48" s="31"/>
      <c r="C48" s="31"/>
      <c r="D48" s="1"/>
      <c r="E48" s="2"/>
      <c r="F48" s="2"/>
      <c r="G48" s="2"/>
      <c r="H48" s="3"/>
    </row>
    <row r="49" spans="1:8" x14ac:dyDescent="0.4">
      <c r="A49" s="4"/>
      <c r="B49" t="s">
        <v>78</v>
      </c>
      <c r="D49" s="4" t="s">
        <v>69</v>
      </c>
      <c r="E49" t="s">
        <v>5</v>
      </c>
      <c r="F49">
        <v>2</v>
      </c>
      <c r="H49" s="5" t="s">
        <v>102</v>
      </c>
    </row>
    <row r="50" spans="1:8" x14ac:dyDescent="0.4">
      <c r="A50" s="4"/>
      <c r="B50" t="s">
        <v>83</v>
      </c>
      <c r="D50" s="4" t="s">
        <v>69</v>
      </c>
      <c r="E50" t="s">
        <v>85</v>
      </c>
      <c r="F50">
        <v>4</v>
      </c>
      <c r="H50" s="5" t="s">
        <v>102</v>
      </c>
    </row>
    <row r="51" spans="1:8" x14ac:dyDescent="0.4">
      <c r="A51" s="4"/>
      <c r="B51" t="s">
        <v>79</v>
      </c>
      <c r="D51" s="4" t="s">
        <v>69</v>
      </c>
      <c r="E51" t="s">
        <v>85</v>
      </c>
      <c r="F51">
        <v>2</v>
      </c>
      <c r="H51" s="5" t="s">
        <v>102</v>
      </c>
    </row>
    <row r="52" spans="1:8" ht="19.5" thickBot="1" x14ac:dyDescent="0.45">
      <c r="A52" s="6"/>
      <c r="B52" s="7" t="s">
        <v>82</v>
      </c>
      <c r="C52" s="7"/>
      <c r="D52" s="6" t="s">
        <v>69</v>
      </c>
      <c r="E52" s="7" t="s">
        <v>86</v>
      </c>
      <c r="F52" s="7">
        <v>4</v>
      </c>
      <c r="G52" s="7"/>
      <c r="H52" s="8" t="s">
        <v>102</v>
      </c>
    </row>
    <row r="53" spans="1:8" x14ac:dyDescent="0.4">
      <c r="A53" s="32" t="s">
        <v>90</v>
      </c>
      <c r="B53" s="31"/>
      <c r="C53" s="31"/>
      <c r="D53" s="1"/>
      <c r="E53" s="2"/>
      <c r="F53" s="2"/>
      <c r="G53" s="2"/>
      <c r="H53" s="3"/>
    </row>
    <row r="54" spans="1:8" x14ac:dyDescent="0.4">
      <c r="A54" s="4"/>
      <c r="B54" t="s">
        <v>47</v>
      </c>
      <c r="D54" s="4" t="s">
        <v>69</v>
      </c>
      <c r="E54" t="s">
        <v>4</v>
      </c>
      <c r="F54">
        <v>3</v>
      </c>
      <c r="G54">
        <v>2</v>
      </c>
      <c r="H54" s="5" t="s">
        <v>175</v>
      </c>
    </row>
    <row r="55" spans="1:8" x14ac:dyDescent="0.4">
      <c r="A55" s="4"/>
      <c r="B55" t="s">
        <v>91</v>
      </c>
      <c r="D55" s="4" t="s">
        <v>98</v>
      </c>
      <c r="E55" t="s">
        <v>4</v>
      </c>
      <c r="F55">
        <v>5</v>
      </c>
      <c r="G55">
        <v>2</v>
      </c>
      <c r="H55" s="5" t="s">
        <v>175</v>
      </c>
    </row>
    <row r="56" spans="1:8" x14ac:dyDescent="0.4">
      <c r="A56" s="4"/>
      <c r="B56" t="s">
        <v>92</v>
      </c>
      <c r="D56" s="4" t="s">
        <v>98</v>
      </c>
      <c r="E56" t="s">
        <v>173</v>
      </c>
      <c r="F56">
        <v>3</v>
      </c>
      <c r="H56" s="5" t="s">
        <v>102</v>
      </c>
    </row>
    <row r="57" spans="1:8" x14ac:dyDescent="0.4">
      <c r="A57" s="4"/>
      <c r="B57" t="s">
        <v>94</v>
      </c>
      <c r="D57" s="4" t="s">
        <v>98</v>
      </c>
      <c r="E57" t="s">
        <v>173</v>
      </c>
      <c r="F57">
        <v>3</v>
      </c>
      <c r="H57" s="5" t="s">
        <v>102</v>
      </c>
    </row>
    <row r="58" spans="1:8" x14ac:dyDescent="0.4">
      <c r="A58" s="4"/>
      <c r="B58" t="s">
        <v>95</v>
      </c>
      <c r="D58" s="4" t="s">
        <v>98</v>
      </c>
      <c r="E58" t="s">
        <v>173</v>
      </c>
      <c r="F58">
        <v>3</v>
      </c>
      <c r="H58" s="5" t="s">
        <v>102</v>
      </c>
    </row>
    <row r="59" spans="1:8" x14ac:dyDescent="0.4">
      <c r="A59" s="4"/>
      <c r="B59" t="s">
        <v>93</v>
      </c>
      <c r="D59" s="4" t="s">
        <v>98</v>
      </c>
      <c r="E59" t="s">
        <v>5</v>
      </c>
      <c r="F59">
        <v>3</v>
      </c>
      <c r="H59" s="5" t="s">
        <v>102</v>
      </c>
    </row>
    <row r="60" spans="1:8" x14ac:dyDescent="0.4">
      <c r="A60" s="4"/>
      <c r="B60" t="s">
        <v>96</v>
      </c>
      <c r="D60" s="4" t="s">
        <v>98</v>
      </c>
      <c r="E60" t="s">
        <v>5</v>
      </c>
      <c r="F60">
        <v>3</v>
      </c>
      <c r="H60" s="5" t="s">
        <v>102</v>
      </c>
    </row>
    <row r="61" spans="1:8" ht="19.5" thickBot="1" x14ac:dyDescent="0.45">
      <c r="A61" s="6"/>
      <c r="B61" s="7" t="s">
        <v>97</v>
      </c>
      <c r="C61" s="7"/>
      <c r="D61" s="6" t="s">
        <v>99</v>
      </c>
      <c r="E61" s="7" t="s">
        <v>5</v>
      </c>
      <c r="F61" s="7">
        <v>5</v>
      </c>
      <c r="G61" s="7"/>
      <c r="H61" s="8" t="s">
        <v>102</v>
      </c>
    </row>
  </sheetData>
  <autoFilter ref="A3:H62" xr:uid="{00000000-0009-0000-0000-000000000000}"/>
  <phoneticPr fontId="1"/>
  <conditionalFormatting sqref="A4:C61 A63:C114">
    <cfRule type="expression" dxfId="13" priority="3">
      <formula>AND($A4&lt;&gt;"",ROW()&lt;=50)</formula>
    </cfRule>
  </conditionalFormatting>
  <conditionalFormatting sqref="A3:H3">
    <cfRule type="expression" dxfId="12" priority="1">
      <formula>TRUE</formula>
    </cfRule>
  </conditionalFormatting>
  <conditionalFormatting sqref="D4:D61 D63:D114">
    <cfRule type="expression" dxfId="11" priority="4">
      <formula>D4="S"</formula>
    </cfRule>
    <cfRule type="expression" dxfId="10" priority="5">
      <formula>D4="A"</formula>
    </cfRule>
    <cfRule type="expression" dxfId="9" priority="6">
      <formula>D4="B"</formula>
    </cfRule>
    <cfRule type="expression" dxfId="8" priority="7">
      <formula>D4="C"</formula>
    </cfRule>
  </conditionalFormatting>
  <conditionalFormatting sqref="E4:E61 E63:E114">
    <cfRule type="expression" dxfId="7" priority="8">
      <formula>E4="プロト"</formula>
    </cfRule>
    <cfRule type="expression" dxfId="6" priority="9">
      <formula>E4="アルファ"</formula>
    </cfRule>
    <cfRule type="expression" dxfId="5" priority="10">
      <formula>E4="ベータ"</formula>
    </cfRule>
    <cfRule type="expression" dxfId="4" priority="11">
      <formula>E4="マスター"</formula>
    </cfRule>
  </conditionalFormatting>
  <conditionalFormatting sqref="H4:H61 H63:H114">
    <cfRule type="expression" dxfId="3" priority="12">
      <formula>H4="未着手"</formula>
    </cfRule>
    <cfRule type="expression" dxfId="2" priority="13">
      <formula>H4="作業中"</formula>
    </cfRule>
    <cfRule type="expression" dxfId="1" priority="14">
      <formula>H4="完了"</formula>
    </cfRule>
  </conditionalFormatting>
  <conditionalFormatting sqref="J3:M3">
    <cfRule type="expression" dxfId="0" priority="2">
      <formula>LEN(J3)&gt;0</formula>
    </cfRule>
  </conditionalFormatting>
  <dataValidations count="3">
    <dataValidation type="list" allowBlank="1" showInputMessage="1" showErrorMessage="1" sqref="H63:H114 H4:H61" xr:uid="{64D449D9-438B-4572-A251-04B588CA3C86}">
      <formula1>"未着手,作業中,完了"</formula1>
    </dataValidation>
    <dataValidation type="list" showErrorMessage="1" errorTitle="選択肢から入力してください" error="S、A、B、C のいずれかを入力してください。" sqref="D63:D114 D4:D61" xr:uid="{00000000-0002-0000-0000-000001000000}">
      <formula1>"S,A,B,C"</formula1>
    </dataValidation>
    <dataValidation type="list" showErrorMessage="1" errorTitle="選択肢から入力してください" error="プロト、アルファ、ベータ、マスター のいずれかを入力してください。" sqref="E63:E114 E4:E61" xr:uid="{00000000-0002-0000-0000-000002000000}">
      <formula1>"プロト,アルファ,ベータ,マスター"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02DE-F60C-4067-9D86-D3133F0D6552}">
  <dimension ref="B2:L28"/>
  <sheetViews>
    <sheetView workbookViewId="0">
      <selection activeCell="E26" sqref="E26"/>
    </sheetView>
  </sheetViews>
  <sheetFormatPr defaultRowHeight="18.75" x14ac:dyDescent="0.4"/>
  <cols>
    <col min="1" max="10" width="9" style="14"/>
    <col min="11" max="11" width="10.25" style="14" bestFit="1" customWidth="1"/>
    <col min="12" max="16384" width="9" style="14"/>
  </cols>
  <sheetData>
    <row r="2" spans="2:12" x14ac:dyDescent="0.4">
      <c r="B2" s="13" t="s">
        <v>0</v>
      </c>
    </row>
    <row r="3" spans="2:12" x14ac:dyDescent="0.4">
      <c r="B3" s="13"/>
      <c r="C3" s="13"/>
      <c r="D3" s="13">
        <v>1</v>
      </c>
      <c r="E3" s="13">
        <v>2</v>
      </c>
      <c r="F3" s="13">
        <v>3</v>
      </c>
      <c r="G3" s="13">
        <v>4</v>
      </c>
      <c r="H3" s="13">
        <v>5</v>
      </c>
      <c r="J3" s="14" t="s">
        <v>4</v>
      </c>
      <c r="K3" s="15"/>
      <c r="L3" s="14" t="s">
        <v>24</v>
      </c>
    </row>
    <row r="4" spans="2:12" x14ac:dyDescent="0.4">
      <c r="B4" s="13">
        <v>6</v>
      </c>
      <c r="C4" s="13">
        <v>7</v>
      </c>
      <c r="D4" s="13">
        <v>8</v>
      </c>
      <c r="E4" s="13">
        <v>9</v>
      </c>
      <c r="F4" s="13">
        <v>10</v>
      </c>
      <c r="G4" s="13">
        <v>11</v>
      </c>
      <c r="H4" s="13">
        <v>12</v>
      </c>
      <c r="J4" s="14" t="s">
        <v>5</v>
      </c>
      <c r="K4" s="16"/>
      <c r="L4" s="14" t="s">
        <v>25</v>
      </c>
    </row>
    <row r="5" spans="2:12" x14ac:dyDescent="0.4">
      <c r="B5" s="13">
        <v>13</v>
      </c>
      <c r="C5" s="13">
        <v>14</v>
      </c>
      <c r="D5" s="13">
        <v>15</v>
      </c>
      <c r="E5" s="13">
        <v>16</v>
      </c>
      <c r="F5" s="13">
        <v>17</v>
      </c>
      <c r="G5" s="13">
        <v>18</v>
      </c>
      <c r="H5" s="13">
        <v>19</v>
      </c>
      <c r="J5" s="14" t="s">
        <v>6</v>
      </c>
      <c r="K5" s="17"/>
      <c r="L5" s="14" t="s">
        <v>26</v>
      </c>
    </row>
    <row r="6" spans="2:12" x14ac:dyDescent="0.4">
      <c r="B6" s="13">
        <v>20</v>
      </c>
      <c r="C6" s="13">
        <v>21</v>
      </c>
      <c r="D6" s="13">
        <v>22</v>
      </c>
      <c r="E6" s="13">
        <v>23</v>
      </c>
      <c r="F6" s="13">
        <v>24</v>
      </c>
      <c r="G6" s="13">
        <v>25</v>
      </c>
      <c r="H6" s="13">
        <v>26</v>
      </c>
      <c r="J6" s="14" t="s">
        <v>7</v>
      </c>
      <c r="K6" s="18"/>
      <c r="L6" s="14" t="s">
        <v>27</v>
      </c>
    </row>
    <row r="7" spans="2:12" x14ac:dyDescent="0.4">
      <c r="B7" s="19">
        <v>27</v>
      </c>
      <c r="C7" s="19">
        <v>28</v>
      </c>
      <c r="D7" s="19">
        <v>29</v>
      </c>
      <c r="E7" s="19">
        <v>30</v>
      </c>
      <c r="F7" s="13"/>
      <c r="G7" s="13"/>
      <c r="H7" s="13"/>
      <c r="J7" s="14" t="s">
        <v>8</v>
      </c>
      <c r="K7" s="20"/>
      <c r="L7" s="14" t="s">
        <v>8</v>
      </c>
    </row>
    <row r="9" spans="2:12" x14ac:dyDescent="0.4">
      <c r="B9" s="21" t="s">
        <v>1</v>
      </c>
      <c r="J9" s="14" t="s">
        <v>89</v>
      </c>
      <c r="K9" s="14">
        <f ca="1" xml:space="preserve"> コスト表!L13</f>
        <v>3.0821917808219177</v>
      </c>
    </row>
    <row r="10" spans="2:12" x14ac:dyDescent="0.4">
      <c r="B10" s="13"/>
      <c r="C10" s="13"/>
      <c r="D10" s="13"/>
      <c r="E10" s="13"/>
      <c r="F10" s="19">
        <v>1</v>
      </c>
      <c r="G10" s="19">
        <v>2</v>
      </c>
      <c r="H10" s="19">
        <v>3</v>
      </c>
      <c r="J10" s="14" t="s">
        <v>4</v>
      </c>
      <c r="K10" s="14">
        <f ca="1" xml:space="preserve"> DATE(2026,10,31) - TODAY()</f>
        <v>12</v>
      </c>
    </row>
    <row r="11" spans="2:12" x14ac:dyDescent="0.4">
      <c r="B11" s="19">
        <v>4</v>
      </c>
      <c r="C11" s="19">
        <v>5</v>
      </c>
      <c r="D11" s="19">
        <v>6</v>
      </c>
      <c r="E11" s="19">
        <v>7</v>
      </c>
      <c r="F11" s="19">
        <v>8</v>
      </c>
      <c r="G11" s="19">
        <v>9</v>
      </c>
      <c r="H11" s="19">
        <v>10</v>
      </c>
      <c r="J11" s="14" t="s">
        <v>5</v>
      </c>
      <c r="K11" s="14">
        <f ca="1" xml:space="preserve"> DATE(2026,11,25) - TODAY()</f>
        <v>37</v>
      </c>
    </row>
    <row r="12" spans="2:12" x14ac:dyDescent="0.4">
      <c r="B12" s="19">
        <v>11</v>
      </c>
      <c r="C12" s="19">
        <v>12</v>
      </c>
      <c r="D12" s="19">
        <v>13</v>
      </c>
      <c r="E12" s="19">
        <v>14</v>
      </c>
      <c r="F12" s="19">
        <v>15</v>
      </c>
      <c r="G12" s="19">
        <v>16</v>
      </c>
      <c r="H12" s="19">
        <v>17</v>
      </c>
      <c r="J12" s="14" t="s">
        <v>6</v>
      </c>
      <c r="K12" s="14">
        <f ca="1" xml:space="preserve"> DATE(2026,12,16) - TODAY()</f>
        <v>58</v>
      </c>
    </row>
    <row r="13" spans="2:12" x14ac:dyDescent="0.4">
      <c r="B13" s="19">
        <v>18</v>
      </c>
      <c r="C13" s="19">
        <v>19</v>
      </c>
      <c r="D13" s="19">
        <v>20</v>
      </c>
      <c r="E13" s="19">
        <v>21</v>
      </c>
      <c r="F13" s="19">
        <v>22</v>
      </c>
      <c r="G13" s="19">
        <v>23</v>
      </c>
      <c r="H13" s="19">
        <v>24</v>
      </c>
    </row>
    <row r="14" spans="2:12" x14ac:dyDescent="0.4">
      <c r="B14" s="19">
        <v>25</v>
      </c>
      <c r="C14" s="19">
        <v>26</v>
      </c>
      <c r="D14" s="19">
        <v>27</v>
      </c>
      <c r="E14" s="19">
        <v>28</v>
      </c>
      <c r="F14" s="19">
        <v>29</v>
      </c>
      <c r="G14" s="19">
        <v>30</v>
      </c>
      <c r="H14" s="19">
        <v>31</v>
      </c>
    </row>
    <row r="16" spans="2:12" x14ac:dyDescent="0.4">
      <c r="B16" s="21" t="s">
        <v>2</v>
      </c>
    </row>
    <row r="17" spans="2:8" x14ac:dyDescent="0.4">
      <c r="B17" s="22">
        <v>1</v>
      </c>
      <c r="C17" s="22">
        <v>2</v>
      </c>
      <c r="D17" s="22">
        <v>3</v>
      </c>
      <c r="E17" s="22">
        <v>4</v>
      </c>
      <c r="F17" s="22">
        <v>5</v>
      </c>
      <c r="G17" s="22">
        <v>6</v>
      </c>
      <c r="H17" s="22">
        <v>7</v>
      </c>
    </row>
    <row r="18" spans="2:8" x14ac:dyDescent="0.4">
      <c r="B18" s="22">
        <v>8</v>
      </c>
      <c r="C18" s="22">
        <v>9</v>
      </c>
      <c r="D18" s="22">
        <v>10</v>
      </c>
      <c r="E18" s="22">
        <v>11</v>
      </c>
      <c r="F18" s="22">
        <v>12</v>
      </c>
      <c r="G18" s="22">
        <v>13</v>
      </c>
      <c r="H18" s="22">
        <v>14</v>
      </c>
    </row>
    <row r="19" spans="2:8" x14ac:dyDescent="0.4">
      <c r="B19" s="22">
        <v>15</v>
      </c>
      <c r="C19" s="22">
        <v>16</v>
      </c>
      <c r="D19" s="22">
        <v>17</v>
      </c>
      <c r="E19" s="22">
        <v>18</v>
      </c>
      <c r="F19" s="22">
        <v>19</v>
      </c>
      <c r="G19" s="22">
        <v>20</v>
      </c>
      <c r="H19" s="22">
        <v>21</v>
      </c>
    </row>
    <row r="20" spans="2:8" x14ac:dyDescent="0.4">
      <c r="B20" s="22">
        <v>22</v>
      </c>
      <c r="C20" s="22">
        <v>23</v>
      </c>
      <c r="D20" s="22">
        <v>24</v>
      </c>
      <c r="E20" s="22">
        <v>25</v>
      </c>
      <c r="F20" s="23">
        <v>26</v>
      </c>
      <c r="G20" s="23">
        <v>27</v>
      </c>
      <c r="H20" s="23">
        <v>28</v>
      </c>
    </row>
    <row r="21" spans="2:8" x14ac:dyDescent="0.4">
      <c r="B21" s="23">
        <v>29</v>
      </c>
      <c r="C21" s="23">
        <v>30</v>
      </c>
      <c r="D21" s="13"/>
      <c r="E21" s="13"/>
      <c r="F21" s="13"/>
      <c r="G21" s="13"/>
      <c r="H21" s="13"/>
    </row>
    <row r="23" spans="2:8" x14ac:dyDescent="0.4">
      <c r="B23" s="21" t="s">
        <v>3</v>
      </c>
    </row>
    <row r="24" spans="2:8" x14ac:dyDescent="0.4">
      <c r="B24" s="13"/>
      <c r="C24" s="13"/>
      <c r="D24" s="23">
        <v>1</v>
      </c>
      <c r="E24" s="23">
        <v>2</v>
      </c>
      <c r="F24" s="23">
        <v>3</v>
      </c>
      <c r="G24" s="23">
        <v>4</v>
      </c>
      <c r="H24" s="23">
        <v>5</v>
      </c>
    </row>
    <row r="25" spans="2:8" x14ac:dyDescent="0.4">
      <c r="B25" s="23">
        <v>6</v>
      </c>
      <c r="C25" s="23">
        <v>7</v>
      </c>
      <c r="D25" s="23">
        <v>8</v>
      </c>
      <c r="E25" s="23">
        <v>9</v>
      </c>
      <c r="F25" s="23">
        <v>10</v>
      </c>
      <c r="G25" s="23">
        <v>11</v>
      </c>
      <c r="H25" s="23">
        <v>12</v>
      </c>
    </row>
    <row r="26" spans="2:8" x14ac:dyDescent="0.4">
      <c r="B26" s="23">
        <v>13</v>
      </c>
      <c r="C26" s="23">
        <v>14</v>
      </c>
      <c r="D26" s="23">
        <v>15</v>
      </c>
      <c r="E26" s="23">
        <v>16</v>
      </c>
      <c r="F26" s="24">
        <v>17</v>
      </c>
      <c r="G26" s="24">
        <v>18</v>
      </c>
      <c r="H26" s="24">
        <v>19</v>
      </c>
    </row>
    <row r="27" spans="2:8" x14ac:dyDescent="0.4">
      <c r="B27" s="24">
        <v>20</v>
      </c>
      <c r="C27" s="24">
        <v>21</v>
      </c>
      <c r="D27" s="24">
        <v>22</v>
      </c>
      <c r="E27" s="24">
        <v>23</v>
      </c>
      <c r="F27" s="24">
        <v>24</v>
      </c>
      <c r="G27" s="24">
        <v>25</v>
      </c>
      <c r="H27" s="24">
        <v>26</v>
      </c>
    </row>
    <row r="28" spans="2:8" x14ac:dyDescent="0.4">
      <c r="B28" s="24">
        <v>27</v>
      </c>
      <c r="C28" s="24">
        <v>28</v>
      </c>
      <c r="D28" s="24">
        <v>29</v>
      </c>
      <c r="E28" s="24">
        <v>30</v>
      </c>
      <c r="F28" s="25">
        <v>31</v>
      </c>
      <c r="G28" s="13"/>
      <c r="H28" s="13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10B5-22D8-4DE2-BCDD-2C5210F797D9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F698-E514-4E3C-B080-1B3ECE66E822}">
  <dimension ref="A1:C27"/>
  <sheetViews>
    <sheetView workbookViewId="0">
      <selection activeCell="A30" sqref="A30"/>
    </sheetView>
  </sheetViews>
  <sheetFormatPr defaultRowHeight="18.75" x14ac:dyDescent="0.4"/>
  <cols>
    <col min="1" max="1" width="15" bestFit="1" customWidth="1"/>
    <col min="9" max="9" width="12.375" bestFit="1" customWidth="1"/>
  </cols>
  <sheetData>
    <row r="1" spans="1:3" x14ac:dyDescent="0.4">
      <c r="A1" t="s">
        <v>104</v>
      </c>
      <c r="B1" t="s">
        <v>105</v>
      </c>
    </row>
    <row r="2" spans="1:3" x14ac:dyDescent="0.4">
      <c r="A2" t="s">
        <v>103</v>
      </c>
      <c r="B2" t="s">
        <v>111</v>
      </c>
    </row>
    <row r="3" spans="1:3" x14ac:dyDescent="0.4">
      <c r="A3" t="s">
        <v>106</v>
      </c>
      <c r="B3" t="s">
        <v>112</v>
      </c>
    </row>
    <row r="4" spans="1:3" x14ac:dyDescent="0.4">
      <c r="A4" t="s">
        <v>107</v>
      </c>
      <c r="B4" t="s">
        <v>108</v>
      </c>
    </row>
    <row r="5" spans="1:3" x14ac:dyDescent="0.4">
      <c r="A5" t="s">
        <v>109</v>
      </c>
      <c r="B5" t="s">
        <v>110</v>
      </c>
    </row>
    <row r="6" spans="1:3" x14ac:dyDescent="0.4">
      <c r="A6" t="s">
        <v>113</v>
      </c>
      <c r="B6" t="s">
        <v>114</v>
      </c>
    </row>
    <row r="7" spans="1:3" x14ac:dyDescent="0.4">
      <c r="A7" t="s">
        <v>115</v>
      </c>
      <c r="B7" t="s">
        <v>116</v>
      </c>
    </row>
    <row r="8" spans="1:3" x14ac:dyDescent="0.4">
      <c r="A8" t="s">
        <v>117</v>
      </c>
      <c r="B8" t="s">
        <v>118</v>
      </c>
    </row>
    <row r="9" spans="1:3" x14ac:dyDescent="0.4">
      <c r="A9" t="s">
        <v>119</v>
      </c>
      <c r="B9" t="s">
        <v>120</v>
      </c>
    </row>
    <row r="10" spans="1:3" x14ac:dyDescent="0.4">
      <c r="A10" t="s">
        <v>121</v>
      </c>
      <c r="B10" t="s">
        <v>122</v>
      </c>
    </row>
    <row r="14" spans="1:3" x14ac:dyDescent="0.4">
      <c r="A14" t="s">
        <v>154</v>
      </c>
    </row>
    <row r="15" spans="1:3" x14ac:dyDescent="0.4">
      <c r="A15" t="s">
        <v>153</v>
      </c>
    </row>
    <row r="16" spans="1:3" x14ac:dyDescent="0.4">
      <c r="A16" t="s">
        <v>145</v>
      </c>
      <c r="B16" t="s">
        <v>151</v>
      </c>
      <c r="C16" t="s">
        <v>158</v>
      </c>
    </row>
    <row r="17" spans="1:3" x14ac:dyDescent="0.4">
      <c r="A17" t="s">
        <v>150</v>
      </c>
    </row>
    <row r="18" spans="1:3" x14ac:dyDescent="0.4">
      <c r="A18" t="s">
        <v>146</v>
      </c>
    </row>
    <row r="19" spans="1:3" x14ac:dyDescent="0.4">
      <c r="A19" t="s">
        <v>150</v>
      </c>
    </row>
    <row r="20" spans="1:3" x14ac:dyDescent="0.4">
      <c r="A20" t="s">
        <v>147</v>
      </c>
      <c r="B20" t="s">
        <v>148</v>
      </c>
      <c r="C20" t="s">
        <v>149</v>
      </c>
    </row>
    <row r="22" spans="1:3" x14ac:dyDescent="0.4">
      <c r="A22" t="s">
        <v>145</v>
      </c>
      <c r="B22" t="s">
        <v>152</v>
      </c>
    </row>
    <row r="23" spans="1:3" x14ac:dyDescent="0.4">
      <c r="A23" t="s">
        <v>146</v>
      </c>
      <c r="B23" t="s">
        <v>155</v>
      </c>
    </row>
    <row r="24" spans="1:3" x14ac:dyDescent="0.4">
      <c r="A24" t="s">
        <v>156</v>
      </c>
      <c r="B24" t="s">
        <v>159</v>
      </c>
    </row>
    <row r="25" spans="1:3" x14ac:dyDescent="0.4">
      <c r="A25" t="s">
        <v>158</v>
      </c>
      <c r="B25" t="s">
        <v>157</v>
      </c>
    </row>
    <row r="26" spans="1:3" x14ac:dyDescent="0.4">
      <c r="A26" t="s">
        <v>154</v>
      </c>
      <c r="B26" t="s">
        <v>160</v>
      </c>
    </row>
    <row r="27" spans="1:3" x14ac:dyDescent="0.4">
      <c r="A27" t="s">
        <v>161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6681-A78F-4D74-991F-837CCFFE8902}">
  <dimension ref="A1:B18"/>
  <sheetViews>
    <sheetView workbookViewId="0">
      <selection activeCell="A21" sqref="A21"/>
    </sheetView>
  </sheetViews>
  <sheetFormatPr defaultRowHeight="18.75" x14ac:dyDescent="0.4"/>
  <cols>
    <col min="1" max="1" width="56.625" bestFit="1" customWidth="1"/>
  </cols>
  <sheetData>
    <row r="1" spans="1:2" x14ac:dyDescent="0.4">
      <c r="A1" t="s">
        <v>123</v>
      </c>
    </row>
    <row r="2" spans="1:2" x14ac:dyDescent="0.4">
      <c r="A2" t="s">
        <v>124</v>
      </c>
    </row>
    <row r="3" spans="1:2" x14ac:dyDescent="0.4">
      <c r="A3" t="s">
        <v>125</v>
      </c>
    </row>
    <row r="4" spans="1:2" x14ac:dyDescent="0.4">
      <c r="A4" t="s">
        <v>126</v>
      </c>
    </row>
    <row r="6" spans="1:2" x14ac:dyDescent="0.4">
      <c r="A6" t="s">
        <v>127</v>
      </c>
    </row>
    <row r="7" spans="1:2" x14ac:dyDescent="0.4">
      <c r="A7" t="s">
        <v>128</v>
      </c>
    </row>
    <row r="8" spans="1:2" x14ac:dyDescent="0.4">
      <c r="A8" t="s">
        <v>129</v>
      </c>
    </row>
    <row r="9" spans="1:2" x14ac:dyDescent="0.4">
      <c r="A9" t="s">
        <v>141</v>
      </c>
    </row>
    <row r="10" spans="1:2" x14ac:dyDescent="0.4">
      <c r="A10" t="s">
        <v>140</v>
      </c>
      <c r="B10" t="s">
        <v>142</v>
      </c>
    </row>
    <row r="11" spans="1:2" x14ac:dyDescent="0.4">
      <c r="A11" t="s">
        <v>132</v>
      </c>
    </row>
    <row r="13" spans="1:2" x14ac:dyDescent="0.4">
      <c r="A13" t="s">
        <v>130</v>
      </c>
    </row>
    <row r="14" spans="1:2" x14ac:dyDescent="0.4">
      <c r="A14" t="s">
        <v>131</v>
      </c>
      <c r="B14" t="s">
        <v>134</v>
      </c>
    </row>
    <row r="15" spans="1:2" x14ac:dyDescent="0.4">
      <c r="A15" t="s">
        <v>135</v>
      </c>
      <c r="B15" t="s">
        <v>136</v>
      </c>
    </row>
    <row r="16" spans="1:2" x14ac:dyDescent="0.4">
      <c r="A16" t="s">
        <v>133</v>
      </c>
      <c r="B16" t="s">
        <v>137</v>
      </c>
    </row>
    <row r="17" spans="1:2" x14ac:dyDescent="0.4">
      <c r="A17" t="s">
        <v>139</v>
      </c>
      <c r="B17" t="s">
        <v>138</v>
      </c>
    </row>
    <row r="18" spans="1:2" x14ac:dyDescent="0.4">
      <c r="A18" t="s">
        <v>143</v>
      </c>
      <c r="B18" t="s">
        <v>144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C587-0026-4544-A843-396EC3AA3188}">
  <dimension ref="A1:A19"/>
  <sheetViews>
    <sheetView workbookViewId="0">
      <selection activeCell="E30" sqref="E30"/>
    </sheetView>
  </sheetViews>
  <sheetFormatPr defaultRowHeight="18.75" x14ac:dyDescent="0.4"/>
  <sheetData>
    <row r="1" spans="1:1" x14ac:dyDescent="0.4">
      <c r="A1" t="s">
        <v>9</v>
      </c>
    </row>
    <row r="2" spans="1:1" x14ac:dyDescent="0.4">
      <c r="A2" t="s">
        <v>10</v>
      </c>
    </row>
    <row r="4" spans="1:1" x14ac:dyDescent="0.4">
      <c r="A4" t="s">
        <v>11</v>
      </c>
    </row>
    <row r="5" spans="1:1" x14ac:dyDescent="0.4">
      <c r="A5" t="s">
        <v>12</v>
      </c>
    </row>
    <row r="6" spans="1:1" x14ac:dyDescent="0.4">
      <c r="A6" t="s">
        <v>13</v>
      </c>
    </row>
    <row r="7" spans="1:1" x14ac:dyDescent="0.4">
      <c r="A7" t="s">
        <v>15</v>
      </c>
    </row>
    <row r="8" spans="1:1" x14ac:dyDescent="0.4">
      <c r="A8" t="s">
        <v>16</v>
      </c>
    </row>
    <row r="9" spans="1:1" x14ac:dyDescent="0.4">
      <c r="A9" t="s">
        <v>14</v>
      </c>
    </row>
    <row r="11" spans="1:1" x14ac:dyDescent="0.4">
      <c r="A11" t="s">
        <v>17</v>
      </c>
    </row>
    <row r="12" spans="1:1" x14ac:dyDescent="0.4">
      <c r="A12" t="s">
        <v>18</v>
      </c>
    </row>
    <row r="13" spans="1:1" x14ac:dyDescent="0.4">
      <c r="A13" t="s">
        <v>19</v>
      </c>
    </row>
    <row r="14" spans="1:1" x14ac:dyDescent="0.4">
      <c r="A14" t="s">
        <v>20</v>
      </c>
    </row>
    <row r="15" spans="1:1" x14ac:dyDescent="0.4">
      <c r="A15" t="s">
        <v>32</v>
      </c>
    </row>
    <row r="17" spans="1:1" x14ac:dyDescent="0.4">
      <c r="A17" t="s">
        <v>21</v>
      </c>
    </row>
    <row r="18" spans="1:1" x14ac:dyDescent="0.4">
      <c r="A18" t="s">
        <v>22</v>
      </c>
    </row>
    <row r="19" spans="1:1" x14ac:dyDescent="0.4">
      <c r="A19" t="s">
        <v>23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42D0-692F-4D28-A8DA-2E3B29DE44E6}">
  <dimension ref="A1:B13"/>
  <sheetViews>
    <sheetView workbookViewId="0">
      <selection activeCell="F11" sqref="F11"/>
    </sheetView>
  </sheetViews>
  <sheetFormatPr defaultRowHeight="18.75" x14ac:dyDescent="0.4"/>
  <sheetData>
    <row r="1" spans="1:2" x14ac:dyDescent="0.4">
      <c r="A1" t="s">
        <v>162</v>
      </c>
      <c r="B1" t="s">
        <v>163</v>
      </c>
    </row>
    <row r="2" spans="1:2" x14ac:dyDescent="0.4">
      <c r="A2" s="12">
        <v>46289</v>
      </c>
      <c r="B2" t="s">
        <v>164</v>
      </c>
    </row>
    <row r="3" spans="1:2" x14ac:dyDescent="0.4">
      <c r="A3" s="12">
        <v>46290</v>
      </c>
      <c r="B3" t="s">
        <v>168</v>
      </c>
    </row>
    <row r="4" spans="1:2" x14ac:dyDescent="0.4">
      <c r="A4" s="12">
        <v>46291</v>
      </c>
      <c r="B4" t="s">
        <v>169</v>
      </c>
    </row>
    <row r="5" spans="1:2" x14ac:dyDescent="0.4">
      <c r="A5" s="12">
        <v>46292</v>
      </c>
      <c r="B5" t="s">
        <v>170</v>
      </c>
    </row>
    <row r="6" spans="1:2" x14ac:dyDescent="0.4">
      <c r="A6" s="12">
        <v>46293</v>
      </c>
      <c r="B6" t="s">
        <v>171</v>
      </c>
    </row>
    <row r="7" spans="1:2" x14ac:dyDescent="0.4">
      <c r="A7" s="12">
        <v>46294</v>
      </c>
    </row>
    <row r="8" spans="1:2" x14ac:dyDescent="0.4">
      <c r="A8" s="12">
        <v>46295</v>
      </c>
    </row>
    <row r="9" spans="1:2" x14ac:dyDescent="0.4">
      <c r="A9" s="12">
        <v>46296</v>
      </c>
    </row>
    <row r="10" spans="1:2" x14ac:dyDescent="0.4">
      <c r="A10" s="12">
        <v>46297</v>
      </c>
    </row>
    <row r="11" spans="1:2" x14ac:dyDescent="0.4">
      <c r="A11" s="12">
        <v>46298</v>
      </c>
    </row>
    <row r="12" spans="1:2" x14ac:dyDescent="0.4">
      <c r="A12" s="12">
        <v>46299</v>
      </c>
    </row>
    <row r="13" spans="1:2" x14ac:dyDescent="0.4">
      <c r="A13" s="12">
        <v>46300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コスト表</vt:lpstr>
      <vt:lpstr>カレンダー</vt:lpstr>
      <vt:lpstr>汎用メモ</vt:lpstr>
      <vt:lpstr>クラス設計</vt:lpstr>
      <vt:lpstr>ゲーム基盤システム設計</vt:lpstr>
      <vt:lpstr>仕様とか洗い出し</vt:lpstr>
      <vt:lpstr>進捗日記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大翔 佐々木</dc:creator>
  <cp:lastModifiedBy>大翔 佐々木</cp:lastModifiedBy>
  <dcterms:created xsi:type="dcterms:W3CDTF">2026-09-16T05:33:48Z</dcterms:created>
  <dcterms:modified xsi:type="dcterms:W3CDTF">2026-10-19T09:40:49Z</dcterms:modified>
</cp:coreProperties>
</file>