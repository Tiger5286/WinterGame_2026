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GitHub\WinterGame_2026\outputs\20261012\"/>
    </mc:Choice>
  </mc:AlternateContent>
  <xr:revisionPtr revIDLastSave="0" documentId="13_ncr:1_{3EE1F15E-5391-492F-AFE5-3D2D1F47EB2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サマリー" sheetId="1" r:id="rId1"/>
    <sheet name="タスク" sheetId="2" r:id="rId2"/>
    <sheet name="マイルストーン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E8" i="3"/>
  <c r="D8" i="3"/>
  <c r="C8" i="3"/>
  <c r="F7" i="3"/>
  <c r="E7" i="3"/>
  <c r="D7" i="3"/>
  <c r="C7" i="3"/>
  <c r="F6" i="3"/>
  <c r="E6" i="3"/>
  <c r="D6" i="3"/>
  <c r="C6" i="3"/>
  <c r="F5" i="3"/>
  <c r="E5" i="3"/>
  <c r="D5" i="3"/>
  <c r="C5" i="3"/>
  <c r="F4" i="3"/>
  <c r="E4" i="3"/>
  <c r="D4" i="3"/>
  <c r="C4" i="3"/>
  <c r="D5" i="1"/>
  <c r="A5" i="1"/>
  <c r="G8" i="3" l="1"/>
  <c r="G7" i="3"/>
  <c r="G6" i="3"/>
  <c r="G5" i="1"/>
  <c r="G5" i="3"/>
  <c r="G4" i="3"/>
  <c r="D12" i="1" s="1"/>
  <c r="C16" i="1"/>
  <c r="M5" i="1"/>
  <c r="C15" i="1"/>
  <c r="C14" i="1"/>
  <c r="C13" i="1"/>
  <c r="C12" i="1"/>
  <c r="H4" i="3"/>
  <c r="E12" i="1" s="1"/>
  <c r="D13" i="1" l="1"/>
  <c r="H5" i="3"/>
  <c r="E13" i="1" s="1"/>
  <c r="D16" i="1"/>
  <c r="H8" i="3"/>
  <c r="D15" i="1"/>
  <c r="H7" i="3"/>
  <c r="E15" i="1" s="1"/>
  <c r="D14" i="1"/>
  <c r="H6" i="3"/>
  <c r="E14" i="1" s="1"/>
  <c r="J5" i="1" l="1"/>
  <c r="E16" i="1"/>
</calcChain>
</file>

<file path=xl/sharedStrings.xml><?xml version="1.0" encoding="utf-8"?>
<sst xmlns="http://schemas.openxmlformats.org/spreadsheetml/2006/main" count="476" uniqueCount="232">
  <si>
    <t>2026 冬ゲーム｜コスト状況</t>
  </si>
  <si>
    <t>予想コスト・実コスト・残りコストと、マイルストーンまでに必要な作業時間を確認できます。</t>
  </si>
  <si>
    <t>予想コスト</t>
  </si>
  <si>
    <t>実コスト</t>
  </si>
  <si>
    <t>残りコスト</t>
  </si>
  <si>
    <t>必要作業時間/日</t>
  </si>
  <si>
    <t>残営業日</t>
  </si>
  <si>
    <t>最終締切</t>
  </si>
  <si>
    <t>コスト単位</t>
  </si>
  <si>
    <t>1コスト＝作業1時間分</t>
  </si>
  <si>
    <t>営業日の扱い</t>
  </si>
  <si>
    <t>土日を除外。祝日は除外していません。</t>
  </si>
  <si>
    <t>段階</t>
  </si>
  <si>
    <t>締切日</t>
  </si>
  <si>
    <t>必要時間/日</t>
  </si>
  <si>
    <t>プロト</t>
  </si>
  <si>
    <t>アルファ</t>
  </si>
  <si>
    <t>ベータ</t>
  </si>
  <si>
    <t>マスター</t>
  </si>
  <si>
    <t>締め切り</t>
  </si>
  <si>
    <t>実コストをタスクシートに入力すると、実コスト・残りコスト・必要時間/日が更新されます。</t>
  </si>
  <si>
    <t>タスク一覧</t>
  </si>
  <si>
    <t>予想コストは旧表のタスク金額を引継ぎ、実コストは実績入力用です。コスト単位は旧表の定義（1コスト＝作業1時間分）です。</t>
  </si>
  <si>
    <t>ID</t>
  </si>
  <si>
    <t>カテゴリ</t>
  </si>
  <si>
    <t>作業項目</t>
  </si>
  <si>
    <t>優先度</t>
  </si>
  <si>
    <t>進捗状況</t>
  </si>
  <si>
    <t>コード確認メモ</t>
  </si>
  <si>
    <t>補足</t>
  </si>
  <si>
    <t>T001</t>
  </si>
  <si>
    <t>当たり判定</t>
  </si>
  <si>
    <t>CollisionManagerの管理・接触結果整理</t>
  </si>
  <si>
    <t>S</t>
  </si>
  <si>
    <t>一部実装</t>
  </si>
  <si>
    <t>CollisionManager.cpp/hあり。判定結果と押し戻しの整理余地</t>
  </si>
  <si>
    <t>T002</t>
  </si>
  <si>
    <t>球コライダー判定</t>
  </si>
  <si>
    <t>SphereCollider.cpp/hあり</t>
  </si>
  <si>
    <t>T003</t>
  </si>
  <si>
    <t>カプセルコライダー判定</t>
  </si>
  <si>
    <t>CapsuleCollider.cpp/h、カプセル判定関数あり</t>
  </si>
  <si>
    <t>T004</t>
  </si>
  <si>
    <t>ポリゴンコライダー判定</t>
  </si>
  <si>
    <t>PolygonCollider.cpp/hあり。押し戻し・床壁分類との統合確認</t>
  </si>
  <si>
    <t>T005</t>
  </si>
  <si>
    <t>プレイヤー</t>
  </si>
  <si>
    <t>移動</t>
  </si>
  <si>
    <t>Playerと移動Stateあり</t>
  </si>
  <si>
    <t>T006</t>
  </si>
  <si>
    <t>ジャンプ</t>
  </si>
  <si>
    <t>PlayerStateJumpあり</t>
  </si>
  <si>
    <t>T007</t>
  </si>
  <si>
    <t>ホバー</t>
  </si>
  <si>
    <t>B</t>
  </si>
  <si>
    <t>PlayerStateHoverあり</t>
  </si>
  <si>
    <t>T008</t>
  </si>
  <si>
    <t>回避・ダッシュ</t>
  </si>
  <si>
    <t>Playerの状態・Physics実装を動作確認</t>
  </si>
  <si>
    <t>T009</t>
  </si>
  <si>
    <t>エイム</t>
  </si>
  <si>
    <t>Playerの照準レイ・カメラ参照あり。操作感と座標系確認</t>
  </si>
  <si>
    <t>T010</t>
  </si>
  <si>
    <t>射撃</t>
  </si>
  <si>
    <t>PlayerのRayCastと銃モデル描画あり。被弾通知・ダメージ連携を追加</t>
  </si>
  <si>
    <t>T011</t>
  </si>
  <si>
    <t>必殺技</t>
  </si>
  <si>
    <t>未着手</t>
  </si>
  <si>
    <t>元表の項目。仕様未確定</t>
  </si>
  <si>
    <t>T012</t>
  </si>
  <si>
    <t>カメラ</t>
  </si>
  <si>
    <t>通常カメラ</t>
  </si>
  <si>
    <t>Camera.cpp/hあり</t>
  </si>
  <si>
    <t>T013</t>
  </si>
  <si>
    <t>エイムカメラ</t>
  </si>
  <si>
    <t>照準時の視点処理をPlayerと統合確認</t>
  </si>
  <si>
    <t>T014</t>
  </si>
  <si>
    <t>ハッキング</t>
  </si>
  <si>
    <t>盤面生成とデータ調整</t>
  </si>
  <si>
    <t>HackingManager/Hackableあり。盤面の外部データ化・調整性が残る</t>
  </si>
  <si>
    <t>T015</t>
  </si>
  <si>
    <t>盤面移動と経路制約</t>
  </si>
  <si>
    <t>Hackableの移動処理あり。全マス条件を検証</t>
  </si>
  <si>
    <t>T016</t>
  </si>
  <si>
    <t>成功・失敗の発動</t>
  </si>
  <si>
    <t>HackingManager/Hackableあり。敵状態・リセット連携を要確認</t>
  </si>
  <si>
    <t>T017</t>
  </si>
  <si>
    <t>ハッキング特殊効果</t>
  </si>
  <si>
    <t>黄色マス等。銃強化・伝播・停止などを追加</t>
  </si>
  <si>
    <t>T018</t>
  </si>
  <si>
    <t>敵</t>
  </si>
  <si>
    <t>敵ベース</t>
  </si>
  <si>
    <t>EnemyBase、Hitbox、Hackable、EnemyHPUIあり</t>
  </si>
  <si>
    <t>T019</t>
  </si>
  <si>
    <t>雑魚敵1（テスト敵）</t>
  </si>
  <si>
    <t>TestEnemy.cpp/hあり</t>
  </si>
  <si>
    <t>T020</t>
  </si>
  <si>
    <t>雑魚敵2（Walker）</t>
  </si>
  <si>
    <t>WalkerとOrbit/Approach状態、モデルあり。調整・動作確認が残る</t>
  </si>
  <si>
    <t>T021</t>
  </si>
  <si>
    <t>雑魚敵3</t>
  </si>
  <si>
    <t>A</t>
  </si>
  <si>
    <t>元表の追加敵</t>
  </si>
  <si>
    <t>T022</t>
  </si>
  <si>
    <t>ボス1</t>
  </si>
  <si>
    <t>元表の項目</t>
  </si>
  <si>
    <t>T023</t>
  </si>
  <si>
    <t>ボス2</t>
  </si>
  <si>
    <t>T024</t>
  </si>
  <si>
    <t>ボス3</t>
  </si>
  <si>
    <t>T025</t>
  </si>
  <si>
    <t>ステージ</t>
  </si>
  <si>
    <t>ステージ1（仮レイアウト）</t>
  </si>
  <si>
    <t>StaticStageあり。プレイ可能区画・導線・配置が必要</t>
  </si>
  <si>
    <t>T026</t>
  </si>
  <si>
    <t>ステージ2</t>
  </si>
  <si>
    <t>T027</t>
  </si>
  <si>
    <t>ステージ3</t>
  </si>
  <si>
    <t>T028</t>
  </si>
  <si>
    <t>システム</t>
  </si>
  <si>
    <t>アニメーション基盤・ブレンド</t>
  </si>
  <si>
    <t>Animator/AnimationLayerあり。遷移と見た目を確認</t>
  </si>
  <si>
    <t>T029</t>
  </si>
  <si>
    <t>クラス設計・基盤整理</t>
  </si>
  <si>
    <t>GameObject/Component/StateMachine等の基盤あり。責務整理</t>
  </si>
  <si>
    <t>T030</t>
  </si>
  <si>
    <t>素材</t>
  </si>
  <si>
    <t>モデル</t>
  </si>
  <si>
    <t>Player/Gun/Walkerモデル参照あり。配置・スケール確認</t>
  </si>
  <si>
    <t>T031</t>
  </si>
  <si>
    <t>アニメーション素材</t>
  </si>
  <si>
    <t>Animator基盤あり。必要なアニメーション組み込み</t>
  </si>
  <si>
    <t>T032</t>
  </si>
  <si>
    <t>画像・テクスチャ</t>
  </si>
  <si>
    <t>Walker素材/テクスチャあり。ゲーム用調整と反映確認</t>
  </si>
  <si>
    <t>T033</t>
  </si>
  <si>
    <t>音素材</t>
  </si>
  <si>
    <t>T034</t>
  </si>
  <si>
    <t>演出</t>
  </si>
  <si>
    <t>エフェクトマネージャー</t>
  </si>
  <si>
    <t>T035</t>
  </si>
  <si>
    <t>エフェクト実装</t>
  </si>
  <si>
    <t>命中・ハッキング・被弾など</t>
  </si>
  <si>
    <t>T036</t>
  </si>
  <si>
    <t>サウンドマネージャー</t>
  </si>
  <si>
    <t>T037</t>
  </si>
  <si>
    <t>サウンド実装</t>
  </si>
  <si>
    <t>T038</t>
  </si>
  <si>
    <t>シーン</t>
  </si>
  <si>
    <t>シーンマネージャー</t>
  </si>
  <si>
    <t>SceneManagerあり</t>
  </si>
  <si>
    <t>T039</t>
  </si>
  <si>
    <t>ゲームシーン</t>
  </si>
  <si>
    <t>SceneMainあり。ゲームループとプレイ条件を確認</t>
  </si>
  <si>
    <t>T040</t>
  </si>
  <si>
    <t>タイトル</t>
  </si>
  <si>
    <t>T041</t>
  </si>
  <si>
    <t>クリア</t>
  </si>
  <si>
    <t>T042</t>
  </si>
  <si>
    <t>ゲームオーバー</t>
  </si>
  <si>
    <t>T043</t>
  </si>
  <si>
    <t>ステージセレクト</t>
  </si>
  <si>
    <t>T044</t>
  </si>
  <si>
    <t>ポーズ</t>
  </si>
  <si>
    <t>T045</t>
  </si>
  <si>
    <t>オプション</t>
  </si>
  <si>
    <t>T046</t>
  </si>
  <si>
    <t>カプセル対カプセル・線分の接触点/法線検証</t>
  </si>
  <si>
    <t>計画追加</t>
  </si>
  <si>
    <t>MyLibの線分判定、CollisionManagerのRayCastを確認</t>
  </si>
  <si>
    <t>端点・平行・退化ケースを確認</t>
  </si>
  <si>
    <t>T047</t>
  </si>
  <si>
    <t>床接地・坂道追従・押し戻しの安定化</t>
  </si>
  <si>
    <t>Physics.cppとPolygonColliderあり</t>
  </si>
  <si>
    <t>坂、壁際、段差、連続接触を検証</t>
  </si>
  <si>
    <t>T048</t>
  </si>
  <si>
    <t>被弾対象コンポーネントと命中通知</t>
  </si>
  <si>
    <t>Hitboxはあるが射撃対象登録/ダメージ通知一式は独立項目なし</t>
  </si>
  <si>
    <t>T049</t>
  </si>
  <si>
    <t>HP・被ダメージ・撃破とUI連携</t>
  </si>
  <si>
    <t>EnemyHPUI/Hitboxあり。射撃・ハッキングとの接続</t>
  </si>
  <si>
    <t>T050</t>
  </si>
  <si>
    <t>弱体化時間・青/黄色マス効果の統合</t>
  </si>
  <si>
    <t>仕様メモとHackableあり。効果時間・重複・解除を決める</t>
  </si>
  <si>
    <t>T051</t>
  </si>
  <si>
    <t>Walkerの攻撃・被弾・アニメーション統合</t>
  </si>
  <si>
    <t>Walkerの状態クラスとモデルあり。戦闘ループを完成</t>
  </si>
  <si>
    <t>T052</t>
  </si>
  <si>
    <t>ステージ1の衝突ブロックアウト・進行確認</t>
  </si>
  <si>
    <t>StaticStageに移動・射撃・ハッキング可能な導線を追加</t>
  </si>
  <si>
    <t>T053</t>
  </si>
  <si>
    <t>UI</t>
  </si>
  <si>
    <t>HP・照準・ハッキング状態のHUD統合</t>
  </si>
  <si>
    <t>UIManager/EnemyHPUI/HackingTargetUIあり。Player HUDを追加</t>
  </si>
  <si>
    <t>T054</t>
  </si>
  <si>
    <t>テスト</t>
  </si>
  <si>
    <t>戦闘・ハッキング・ステージの通し調整</t>
  </si>
  <si>
    <t>結合時の難易度・操作性・不具合修正</t>
  </si>
  <si>
    <t>T055</t>
  </si>
  <si>
    <t>Walker装甲テクスチャと見た目反映</t>
  </si>
  <si>
    <t>装甲展開・水色強調の見た目をゲーム素材へ反映</t>
  </si>
  <si>
    <t>T056</t>
  </si>
  <si>
    <t>仕上げ</t>
  </si>
  <si>
    <t>最終ビルド・操作説明・不具合修正</t>
  </si>
  <si>
    <t>元表に独立項目なし</t>
  </si>
  <si>
    <t>配布ビルドで主要操作とシーン遷移を確認</t>
  </si>
  <si>
    <t>マイルストーンとカレンダー</t>
  </si>
  <si>
    <t>2026年9月〜12月のカレンダー、締切、段階ごとの目標をまとめています。必要作業時間/日は残りコストを残営業日で割った値です。</t>
  </si>
  <si>
    <t>残り日数</t>
  </si>
  <si>
    <t>累計予想コスト</t>
  </si>
  <si>
    <t>累計実コスト</t>
  </si>
  <si>
    <t>到達目標</t>
  </si>
  <si>
    <t>ゲームシーンだけでも遊べるように。プレイヤー、敵一体、ハッキング(黄色マス以外)、ステージ(仮)を実装する</t>
  </si>
  <si>
    <t>要素を増やしていく。ゲームシーン以外を実装(見た目は後)、ハッキングの黄色マス追加、敵追加、ステージ追加、改良</t>
  </si>
  <si>
    <t>見た目を良くしていく。同時にレベルデザインやその他の改良なども行う。</t>
  </si>
  <si>
    <t>細かいところを調整。見た目とか難易度とか</t>
  </si>
  <si>
    <t>日</t>
  </si>
  <si>
    <t>月</t>
  </si>
  <si>
    <t>火</t>
  </si>
  <si>
    <t>水</t>
  </si>
  <si>
    <t>木</t>
  </si>
  <si>
    <t>金</t>
  </si>
  <si>
    <t>土</t>
  </si>
  <si>
    <t>10月 2026年</t>
  </si>
  <si>
    <t>11月 2026年</t>
  </si>
  <si>
    <t>12月 2026年</t>
  </si>
  <si>
    <r>
      <t>1</t>
    </r>
    <r>
      <rPr>
        <sz val="11"/>
        <rFont val="ＭＳ ゴシック"/>
        <family val="3"/>
        <charset val="128"/>
      </rPr>
      <t>コスト：</t>
    </r>
    <r>
      <rPr>
        <sz val="11"/>
        <rFont val="Arial"/>
        <family val="2"/>
      </rPr>
      <t>1</t>
    </r>
    <r>
      <rPr>
        <sz val="11"/>
        <rFont val="ＭＳ ゴシック"/>
        <family val="3"/>
        <charset val="128"/>
      </rPr>
      <t>時間</t>
    </r>
    <rPh sb="6" eb="8">
      <t>ジカン</t>
    </rPh>
    <phoneticPr fontId="12"/>
  </si>
  <si>
    <t>一部実装</t>
    <phoneticPr fontId="12"/>
  </si>
  <si>
    <t>完了</t>
  </si>
  <si>
    <t>進行中</t>
  </si>
  <si>
    <t>実コスト</t>
    <phoneticPr fontId="12"/>
  </si>
  <si>
    <t>当たり判定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</si>
</sst>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"/>
    <numFmt numFmtId="177" formatCode="yyyy/mm/dd"/>
    <numFmt numFmtId="178" formatCode="0.0&quot; 時間/日&quot;"/>
    <numFmt numFmtId="179" formatCode="#,##0&quot; 日&quot;"/>
    <numFmt numFmtId="180" formatCode="0.0"/>
  </numFmts>
  <fonts count="16">
    <font>
      <sz val="11"/>
      <name val="Carlito"/>
    </font>
    <font>
      <b/>
      <sz val="15"/>
      <color rgb="FF16324F"/>
      <name val="Arial"/>
      <family val="2"/>
    </font>
    <font>
      <i/>
      <sz val="9"/>
      <color rgb="FF596579"/>
      <name val="Arial"/>
      <family val="2"/>
    </font>
    <font>
      <b/>
      <sz val="10"/>
      <color rgb="FFFFFFFF"/>
      <name val="Arial"/>
      <family val="2"/>
    </font>
    <font>
      <sz val="9"/>
      <color rgb="FF43546A"/>
      <name val="Arial"/>
      <family val="2"/>
    </font>
    <font>
      <b/>
      <sz val="9"/>
      <color rgb="FFFFFFFF"/>
      <name val="Arial"/>
      <family val="2"/>
    </font>
    <font>
      <b/>
      <sz val="10"/>
      <color rgb="FF16324F"/>
      <name val="Arial"/>
      <family val="2"/>
    </font>
    <font>
      <b/>
      <sz val="16"/>
      <color rgb="FF16324F"/>
      <name val="Arial"/>
      <family val="2"/>
    </font>
    <font>
      <b/>
      <sz val="10"/>
      <color rgb="FF596579"/>
      <name val="Arial"/>
      <family val="2"/>
    </font>
    <font>
      <b/>
      <sz val="14"/>
      <color rgb="FF16324F"/>
      <name val="Arial"/>
      <family val="2"/>
    </font>
    <font>
      <b/>
      <sz val="10"/>
      <color rgb="FF43546A"/>
      <name val="Arial"/>
      <family val="2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Arial"/>
      <family val="2"/>
    </font>
    <font>
      <b/>
      <sz val="10"/>
      <color rgb="FFFFFFFF"/>
      <name val="ＭＳ 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1F456E"/>
      </patternFill>
    </fill>
    <fill>
      <patternFill patternType="solid">
        <fgColor rgb="FFE9EF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9E5F3"/>
      </patternFill>
    </fill>
    <fill>
      <patternFill patternType="solid">
        <fgColor rgb="FFEAF0F6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D9E1EA"/>
      </top>
      <bottom style="thin">
        <color rgb="FFD9E1EA"/>
      </bottom>
      <diagonal/>
    </border>
    <border>
      <left/>
      <right/>
      <top style="thin">
        <color rgb="FFD9E1EA"/>
      </top>
      <bottom/>
      <diagonal/>
    </border>
  </borders>
  <cellStyleXfs count="2">
    <xf numFmtId="0" fontId="0" fillId="0" borderId="0"/>
    <xf numFmtId="0" fontId="11" fillId="0" borderId="0"/>
  </cellStyleXfs>
  <cellXfs count="47">
    <xf numFmtId="0" fontId="0" fillId="0" borderId="0" xfId="0"/>
    <xf numFmtId="0" fontId="1" fillId="0" borderId="0" xfId="1" applyFont="1"/>
    <xf numFmtId="0" fontId="2" fillId="0" borderId="0" xfId="1" applyFont="1"/>
    <xf numFmtId="0" fontId="3" fillId="2" borderId="0" xfId="1" applyFont="1" applyFill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0" fillId="0" borderId="0" xfId="1" applyFont="1" applyAlignment="1">
      <alignment vertical="center"/>
    </xf>
    <xf numFmtId="176" fontId="0" fillId="3" borderId="0" xfId="1" applyNumberFormat="1" applyFont="1" applyFill="1" applyAlignment="1">
      <alignment vertical="center"/>
    </xf>
    <xf numFmtId="176" fontId="0" fillId="4" borderId="0" xfId="1" applyNumberFormat="1" applyFont="1" applyFill="1" applyAlignment="1">
      <alignment vertical="center"/>
    </xf>
    <xf numFmtId="0" fontId="4" fillId="0" borderId="0" xfId="1" applyFont="1" applyAlignment="1">
      <alignment vertical="center"/>
    </xf>
    <xf numFmtId="0" fontId="5" fillId="5" borderId="0" xfId="1" applyFont="1" applyFill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177" fontId="0" fillId="0" borderId="0" xfId="1" applyNumberFormat="1" applyFont="1" applyAlignment="1">
      <alignment vertical="center"/>
    </xf>
    <xf numFmtId="3" fontId="0" fillId="0" borderId="0" xfId="1" applyNumberFormat="1" applyFont="1" applyAlignment="1">
      <alignment vertical="center"/>
    </xf>
    <xf numFmtId="176" fontId="0" fillId="0" borderId="0" xfId="1" applyNumberFormat="1" applyFont="1" applyAlignment="1">
      <alignment vertical="center"/>
    </xf>
    <xf numFmtId="178" fontId="0" fillId="0" borderId="0" xfId="1" applyNumberFormat="1" applyFont="1" applyAlignment="1">
      <alignment vertical="center"/>
    </xf>
    <xf numFmtId="0" fontId="0" fillId="0" borderId="0" xfId="1" applyFont="1" applyAlignment="1">
      <alignment vertical="center" wrapText="1"/>
    </xf>
    <xf numFmtId="0" fontId="6" fillId="6" borderId="0" xfId="1" applyFont="1" applyFill="1" applyAlignment="1">
      <alignment horizontal="left" vertical="center"/>
    </xf>
    <xf numFmtId="0" fontId="8" fillId="0" borderId="0" xfId="1" applyFont="1" applyAlignment="1">
      <alignment vertical="center"/>
    </xf>
    <xf numFmtId="176" fontId="9" fillId="7" borderId="0" xfId="1" applyNumberFormat="1" applyFont="1" applyFill="1" applyAlignment="1">
      <alignment horizontal="center" vertical="center"/>
    </xf>
    <xf numFmtId="178" fontId="9" fillId="7" borderId="0" xfId="1" applyNumberFormat="1" applyFont="1" applyFill="1" applyAlignment="1">
      <alignment horizontal="center" vertical="center"/>
    </xf>
    <xf numFmtId="179" fontId="9" fillId="7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7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177" fontId="0" fillId="4" borderId="0" xfId="1" applyNumberFormat="1" applyFont="1" applyFill="1" applyAlignment="1">
      <alignment vertical="center"/>
    </xf>
    <xf numFmtId="0" fontId="0" fillId="4" borderId="0" xfId="1" applyFont="1" applyFill="1" applyAlignment="1">
      <alignment vertical="center"/>
    </xf>
    <xf numFmtId="0" fontId="0" fillId="0" borderId="1" xfId="1" applyFont="1" applyBorder="1" applyAlignment="1">
      <alignment vertical="center"/>
    </xf>
    <xf numFmtId="177" fontId="0" fillId="0" borderId="1" xfId="1" applyNumberFormat="1" applyFont="1" applyBorder="1" applyAlignment="1">
      <alignment vertical="center"/>
    </xf>
    <xf numFmtId="180" fontId="0" fillId="0" borderId="1" xfId="1" applyNumberFormat="1" applyFont="1" applyBorder="1" applyAlignment="1">
      <alignment vertical="center"/>
    </xf>
    <xf numFmtId="178" fontId="0" fillId="0" borderId="1" xfId="1" applyNumberFormat="1" applyFont="1" applyBorder="1" applyAlignment="1">
      <alignment vertical="center"/>
    </xf>
    <xf numFmtId="0" fontId="0" fillId="0" borderId="2" xfId="1" applyFont="1" applyBorder="1" applyAlignment="1">
      <alignment vertical="center"/>
    </xf>
    <xf numFmtId="177" fontId="0" fillId="0" borderId="2" xfId="1" applyNumberFormat="1" applyFont="1" applyBorder="1" applyAlignment="1">
      <alignment vertical="center"/>
    </xf>
    <xf numFmtId="180" fontId="0" fillId="0" borderId="2" xfId="1" applyNumberFormat="1" applyFont="1" applyBorder="1" applyAlignment="1">
      <alignment vertical="center"/>
    </xf>
    <xf numFmtId="178" fontId="0" fillId="0" borderId="2" xfId="1" applyNumberFormat="1" applyFont="1" applyBorder="1" applyAlignment="1">
      <alignment vertical="center"/>
    </xf>
    <xf numFmtId="0" fontId="0" fillId="0" borderId="3" xfId="1" applyFont="1" applyBorder="1" applyAlignment="1">
      <alignment vertical="center"/>
    </xf>
    <xf numFmtId="177" fontId="0" fillId="0" borderId="3" xfId="1" applyNumberFormat="1" applyFont="1" applyBorder="1" applyAlignment="1">
      <alignment vertical="center"/>
    </xf>
    <xf numFmtId="180" fontId="0" fillId="0" borderId="3" xfId="1" applyNumberFormat="1" applyFont="1" applyBorder="1" applyAlignment="1">
      <alignment vertical="center"/>
    </xf>
    <xf numFmtId="178" fontId="0" fillId="0" borderId="3" xfId="1" applyNumberFormat="1" applyFont="1" applyBorder="1" applyAlignment="1">
      <alignment vertical="center"/>
    </xf>
    <xf numFmtId="0" fontId="6" fillId="6" borderId="0" xfId="1" applyFont="1" applyFill="1" applyAlignment="1">
      <alignment horizontal="left" vertical="center"/>
    </xf>
    <xf numFmtId="1" fontId="0" fillId="8" borderId="0" xfId="1" applyNumberFormat="1" applyFont="1" applyFill="1" applyAlignment="1">
      <alignment horizontal="center" vertical="center"/>
    </xf>
    <xf numFmtId="1" fontId="0" fillId="9" borderId="0" xfId="1" applyNumberFormat="1" applyFont="1" applyFill="1" applyAlignment="1">
      <alignment horizontal="center" vertical="center"/>
    </xf>
    <xf numFmtId="1" fontId="0" fillId="10" borderId="0" xfId="1" applyNumberFormat="1" applyFont="1" applyFill="1" applyAlignment="1">
      <alignment horizontal="center" vertical="center"/>
    </xf>
    <xf numFmtId="1" fontId="0" fillId="11" borderId="0" xfId="1" applyNumberFormat="1" applyFont="1" applyFill="1" applyAlignment="1">
      <alignment horizontal="center" vertical="center"/>
    </xf>
    <xf numFmtId="0" fontId="13" fillId="0" borderId="0" xfId="1" applyFont="1" applyAlignment="1">
      <alignment vertical="center"/>
    </xf>
    <xf numFmtId="0" fontId="15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Plan" displayName="TaskPlan" ref="A4:J60" totalsRowShown="0">
  <tableColumns count="10">
    <tableColumn id="1" xr3:uid="{00000000-0010-0000-0000-000001000000}" name="ID"/>
    <tableColumn id="2" xr3:uid="{00000000-0010-0000-0000-000002000000}" name="段階"/>
    <tableColumn id="3" xr3:uid="{00000000-0010-0000-0000-000003000000}" name="カテゴリ"/>
    <tableColumn id="4" xr3:uid="{00000000-0010-0000-0000-000004000000}" name="作業項目"/>
    <tableColumn id="5" xr3:uid="{00000000-0010-0000-0000-000005000000}" name="優先度"/>
    <tableColumn id="6" xr3:uid="{00000000-0010-0000-0000-000006000000}" name="進捗状況"/>
    <tableColumn id="7" xr3:uid="{00000000-0010-0000-0000-000007000000}" name="予想コスト"/>
    <tableColumn id="8" xr3:uid="{00000000-0010-0000-0000-000008000000}" name="実コスト"/>
    <tableColumn id="9" xr3:uid="{00000000-0010-0000-0000-000009000000}" name="コード確認メモ"/>
    <tableColumn id="10" xr3:uid="{00000000-0010-0000-0000-00000A000000}" name="補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324F"/>
  </sheetPr>
  <dimension ref="A1:O18"/>
  <sheetViews>
    <sheetView showGridLines="0" workbookViewId="0">
      <pane ySplit="3" topLeftCell="A4" activePane="bottomLeft" state="frozen"/>
      <selection pane="bottomLeft" activeCell="D5" sqref="D5"/>
    </sheetView>
  </sheetViews>
  <sheetFormatPr defaultRowHeight="14.25"/>
  <cols>
    <col min="1" max="1" width="25" customWidth="1"/>
    <col min="2" max="2" width="18" customWidth="1"/>
    <col min="3" max="3" width="14" customWidth="1"/>
    <col min="4" max="4" width="22" customWidth="1"/>
    <col min="5" max="5" width="19" customWidth="1"/>
    <col min="6" max="6" width="4" customWidth="1"/>
    <col min="7" max="7" width="20" customWidth="1"/>
    <col min="8" max="9" width="4" customWidth="1"/>
    <col min="10" max="10" width="23" customWidth="1"/>
    <col min="11" max="12" width="4" customWidth="1"/>
    <col min="13" max="13" width="18" customWidth="1"/>
    <col min="14" max="15" width="4" customWidth="1"/>
  </cols>
  <sheetData>
    <row r="1" spans="1:15" ht="2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26.1" customHeight="1">
      <c r="A4" s="19" t="s">
        <v>2</v>
      </c>
      <c r="B4" s="6"/>
      <c r="C4" s="6"/>
      <c r="D4" s="19" t="s">
        <v>3</v>
      </c>
      <c r="E4" s="6"/>
      <c r="F4" s="6"/>
      <c r="G4" s="19" t="s">
        <v>4</v>
      </c>
      <c r="H4" s="6"/>
      <c r="I4" s="6"/>
      <c r="J4" s="19" t="s">
        <v>5</v>
      </c>
      <c r="K4" s="6"/>
      <c r="L4" s="6"/>
      <c r="M4" s="19" t="s">
        <v>6</v>
      </c>
      <c r="N4" s="6"/>
      <c r="O4" s="6"/>
    </row>
    <row r="5" spans="1:15" ht="26.1" customHeight="1">
      <c r="A5" s="20">
        <f>SUM(タスク!G5:G60)</f>
        <v>327</v>
      </c>
      <c r="B5" s="6"/>
      <c r="C5" s="6"/>
      <c r="D5" s="20">
        <f>IF(COUNT(タスク!H5:H60)=0,"",SUM(タスク!H5:H60))</f>
        <v>56</v>
      </c>
      <c r="E5" s="6"/>
      <c r="F5" s="6"/>
      <c r="G5" s="20">
        <f>A5-IF(D5="",0,D5)</f>
        <v>271</v>
      </c>
      <c r="H5" s="6"/>
      <c r="I5" s="6"/>
      <c r="J5" s="21">
        <f ca="1">マイルストーン!H8</f>
        <v>4.6724137931034484</v>
      </c>
      <c r="K5" s="6"/>
      <c r="L5" s="6"/>
      <c r="M5" s="22">
        <f ca="1">マイルストーン!D8</f>
        <v>58</v>
      </c>
      <c r="N5" s="6"/>
      <c r="O5" s="6"/>
    </row>
    <row r="6" spans="1:1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>
      <c r="A7" s="25" t="s">
        <v>7</v>
      </c>
      <c r="B7" s="26">
        <v>46387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>
      <c r="A8" s="25" t="s">
        <v>8</v>
      </c>
      <c r="B8" s="27" t="s">
        <v>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>
      <c r="A9" s="25" t="s">
        <v>10</v>
      </c>
      <c r="B9" s="27" t="s">
        <v>11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ht="23.1" customHeight="1">
      <c r="A11" s="23" t="s">
        <v>12</v>
      </c>
      <c r="B11" s="23" t="s">
        <v>13</v>
      </c>
      <c r="C11" s="23" t="s">
        <v>6</v>
      </c>
      <c r="D11" s="23" t="s">
        <v>4</v>
      </c>
      <c r="E11" s="23" t="s">
        <v>14</v>
      </c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ht="23.1" customHeight="1">
      <c r="A12" s="28" t="s">
        <v>15</v>
      </c>
      <c r="B12" s="29">
        <v>46326</v>
      </c>
      <c r="C12" s="30">
        <f ca="1">マイルストーン!D4</f>
        <v>14</v>
      </c>
      <c r="D12" s="30">
        <f>マイルストーン!G4</f>
        <v>131</v>
      </c>
      <c r="E12" s="31">
        <f ca="1">マイルストーン!H4</f>
        <v>9.3571428571428577</v>
      </c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ht="23.1" customHeight="1">
      <c r="A13" s="32" t="s">
        <v>16</v>
      </c>
      <c r="B13" s="33">
        <v>46351</v>
      </c>
      <c r="C13" s="34">
        <f ca="1">マイルストーン!D5</f>
        <v>32</v>
      </c>
      <c r="D13" s="34">
        <f>マイルストーン!G5</f>
        <v>238</v>
      </c>
      <c r="E13" s="35">
        <f ca="1">マイルストーン!H5</f>
        <v>7.4375</v>
      </c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ht="23.1" customHeight="1">
      <c r="A14" s="32" t="s">
        <v>17</v>
      </c>
      <c r="B14" s="33">
        <v>46372</v>
      </c>
      <c r="C14" s="34">
        <f ca="1">マイルストーン!D6</f>
        <v>47</v>
      </c>
      <c r="D14" s="34">
        <f>マイルストーン!G6</f>
        <v>263</v>
      </c>
      <c r="E14" s="35">
        <f ca="1">マイルストーン!H6</f>
        <v>5.5957446808510642</v>
      </c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ht="23.1" customHeight="1">
      <c r="A15" s="32" t="s">
        <v>18</v>
      </c>
      <c r="B15" s="33">
        <v>46387</v>
      </c>
      <c r="C15" s="34">
        <f ca="1">マイルストーン!D7</f>
        <v>58</v>
      </c>
      <c r="D15" s="34">
        <f>マイルストーン!G7</f>
        <v>271</v>
      </c>
      <c r="E15" s="35">
        <f ca="1">マイルストーン!H7</f>
        <v>4.6724137931034484</v>
      </c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ht="23.1" customHeight="1">
      <c r="A16" s="36" t="s">
        <v>19</v>
      </c>
      <c r="B16" s="37">
        <v>46387</v>
      </c>
      <c r="C16" s="38">
        <f ca="1">マイルストーン!D8</f>
        <v>58</v>
      </c>
      <c r="D16" s="38">
        <f>マイルストーン!G8</f>
        <v>271</v>
      </c>
      <c r="E16" s="39">
        <f ca="1">マイルストーン!H8</f>
        <v>4.6724137931034484</v>
      </c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>
      <c r="A18" s="5" t="s">
        <v>20</v>
      </c>
      <c r="B18" s="5"/>
      <c r="C18" s="5"/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</row>
  </sheetData>
  <phoneticPr fontId="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</sheetPr>
  <dimension ref="A1:J60"/>
  <sheetViews>
    <sheetView showGridLines="0" tabSelected="1" workbookViewId="0">
      <pane xSplit="4" ySplit="4" topLeftCell="E32" activePane="bottomRight" state="frozen"/>
      <selection pane="topRight"/>
      <selection pane="bottomLeft"/>
      <selection pane="bottomRight" activeCell="I53" sqref="I53"/>
    </sheetView>
  </sheetViews>
  <sheetFormatPr defaultRowHeight="14.25"/>
  <cols>
    <col min="1" max="1" width="9" customWidth="1"/>
    <col min="2" max="2" width="12" customWidth="1"/>
    <col min="3" max="3" width="15" customWidth="1"/>
    <col min="4" max="4" width="36" customWidth="1"/>
    <col min="5" max="5" width="10" customWidth="1"/>
    <col min="6" max="6" width="20" customWidth="1"/>
    <col min="7" max="8" width="15" customWidth="1"/>
    <col min="9" max="9" width="66" customWidth="1"/>
    <col min="10" max="10" width="36" customWidth="1"/>
  </cols>
  <sheetData>
    <row r="1" spans="1:10" ht="19.5">
      <c r="A1" s="4" t="s">
        <v>21</v>
      </c>
      <c r="B1" s="4"/>
      <c r="C1" s="4"/>
      <c r="D1" s="4"/>
      <c r="E1" s="4"/>
      <c r="F1" s="4"/>
      <c r="G1" s="4"/>
      <c r="H1" s="4"/>
      <c r="I1" s="4"/>
      <c r="J1" s="4"/>
    </row>
    <row r="2" spans="1:10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</row>
    <row r="3" spans="1:10">
      <c r="A3" s="6" t="s">
        <v>226</v>
      </c>
      <c r="B3" s="6"/>
      <c r="C3" s="6"/>
      <c r="D3" s="6"/>
      <c r="E3" s="6"/>
      <c r="F3" s="6"/>
      <c r="G3" s="6"/>
      <c r="H3" s="6"/>
      <c r="I3" s="6"/>
      <c r="J3" s="6"/>
    </row>
    <row r="4" spans="1:10">
      <c r="A4" s="3" t="s">
        <v>23</v>
      </c>
      <c r="B4" s="3" t="s">
        <v>12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</v>
      </c>
      <c r="H4" s="46" t="s">
        <v>230</v>
      </c>
      <c r="I4" s="3" t="s">
        <v>28</v>
      </c>
      <c r="J4" s="3" t="s">
        <v>29</v>
      </c>
    </row>
    <row r="5" spans="1:10">
      <c r="A5" s="6" t="s">
        <v>30</v>
      </c>
      <c r="B5" s="6" t="s">
        <v>15</v>
      </c>
      <c r="C5" s="45" t="s">
        <v>231</v>
      </c>
      <c r="D5" s="6" t="s">
        <v>32</v>
      </c>
      <c r="E5" s="6" t="s">
        <v>33</v>
      </c>
      <c r="F5" s="45" t="s">
        <v>227</v>
      </c>
      <c r="G5" s="7">
        <v>5</v>
      </c>
      <c r="H5" s="8"/>
      <c r="I5" s="9" t="s">
        <v>35</v>
      </c>
      <c r="J5" s="9"/>
    </row>
    <row r="6" spans="1:10">
      <c r="A6" s="6" t="s">
        <v>36</v>
      </c>
      <c r="B6" s="6" t="s">
        <v>15</v>
      </c>
      <c r="C6" s="6" t="s">
        <v>31</v>
      </c>
      <c r="D6" s="6" t="s">
        <v>37</v>
      </c>
      <c r="E6" s="6" t="s">
        <v>33</v>
      </c>
      <c r="F6" s="6" t="s">
        <v>228</v>
      </c>
      <c r="G6" s="7">
        <v>1</v>
      </c>
      <c r="H6" s="8">
        <v>1</v>
      </c>
      <c r="I6" s="9" t="s">
        <v>38</v>
      </c>
      <c r="J6" s="9"/>
    </row>
    <row r="7" spans="1:10">
      <c r="A7" s="6" t="s">
        <v>39</v>
      </c>
      <c r="B7" s="6" t="s">
        <v>15</v>
      </c>
      <c r="C7" s="6" t="s">
        <v>31</v>
      </c>
      <c r="D7" s="6" t="s">
        <v>40</v>
      </c>
      <c r="E7" s="6" t="s">
        <v>33</v>
      </c>
      <c r="F7" s="6" t="s">
        <v>228</v>
      </c>
      <c r="G7" s="7">
        <v>2</v>
      </c>
      <c r="H7" s="8">
        <v>2</v>
      </c>
      <c r="I7" s="9" t="s">
        <v>41</v>
      </c>
      <c r="J7" s="9"/>
    </row>
    <row r="8" spans="1:10">
      <c r="A8" s="6" t="s">
        <v>42</v>
      </c>
      <c r="B8" s="6" t="s">
        <v>15</v>
      </c>
      <c r="C8" s="6" t="s">
        <v>31</v>
      </c>
      <c r="D8" s="6" t="s">
        <v>43</v>
      </c>
      <c r="E8" s="6" t="s">
        <v>33</v>
      </c>
      <c r="F8" s="6" t="s">
        <v>228</v>
      </c>
      <c r="G8" s="7">
        <v>5</v>
      </c>
      <c r="H8" s="8">
        <v>5</v>
      </c>
      <c r="I8" s="9" t="s">
        <v>44</v>
      </c>
      <c r="J8" s="9"/>
    </row>
    <row r="9" spans="1:10">
      <c r="A9" s="6" t="s">
        <v>45</v>
      </c>
      <c r="B9" s="6" t="s">
        <v>15</v>
      </c>
      <c r="C9" s="6" t="s">
        <v>46</v>
      </c>
      <c r="D9" s="6" t="s">
        <v>47</v>
      </c>
      <c r="E9" s="6" t="s">
        <v>33</v>
      </c>
      <c r="F9" s="6" t="s">
        <v>228</v>
      </c>
      <c r="G9" s="7">
        <v>2</v>
      </c>
      <c r="H9" s="8">
        <v>2</v>
      </c>
      <c r="I9" s="9" t="s">
        <v>48</v>
      </c>
      <c r="J9" s="9"/>
    </row>
    <row r="10" spans="1:10">
      <c r="A10" s="6" t="s">
        <v>49</v>
      </c>
      <c r="B10" s="6" t="s">
        <v>15</v>
      </c>
      <c r="C10" s="6" t="s">
        <v>46</v>
      </c>
      <c r="D10" s="6" t="s">
        <v>50</v>
      </c>
      <c r="E10" s="6" t="s">
        <v>33</v>
      </c>
      <c r="F10" s="6" t="s">
        <v>228</v>
      </c>
      <c r="G10" s="7">
        <v>1</v>
      </c>
      <c r="H10" s="8">
        <v>1</v>
      </c>
      <c r="I10" s="9" t="s">
        <v>51</v>
      </c>
      <c r="J10" s="9"/>
    </row>
    <row r="11" spans="1:10">
      <c r="A11" s="6" t="s">
        <v>52</v>
      </c>
      <c r="B11" s="6" t="s">
        <v>15</v>
      </c>
      <c r="C11" s="6" t="s">
        <v>46</v>
      </c>
      <c r="D11" s="6" t="s">
        <v>53</v>
      </c>
      <c r="E11" s="6" t="s">
        <v>54</v>
      </c>
      <c r="F11" s="6" t="s">
        <v>228</v>
      </c>
      <c r="G11" s="7">
        <v>2</v>
      </c>
      <c r="H11" s="8">
        <v>2</v>
      </c>
      <c r="I11" s="9" t="s">
        <v>55</v>
      </c>
      <c r="J11" s="9"/>
    </row>
    <row r="12" spans="1:10">
      <c r="A12" s="6" t="s">
        <v>56</v>
      </c>
      <c r="B12" s="6" t="s">
        <v>15</v>
      </c>
      <c r="C12" s="6" t="s">
        <v>46</v>
      </c>
      <c r="D12" s="6" t="s">
        <v>57</v>
      </c>
      <c r="E12" s="6" t="s">
        <v>33</v>
      </c>
      <c r="F12" s="6" t="s">
        <v>67</v>
      </c>
      <c r="G12" s="7">
        <v>1</v>
      </c>
      <c r="H12" s="8"/>
      <c r="I12" s="9" t="s">
        <v>58</v>
      </c>
      <c r="J12" s="9"/>
    </row>
    <row r="13" spans="1:10">
      <c r="A13" s="6" t="s">
        <v>59</v>
      </c>
      <c r="B13" s="6" t="s">
        <v>15</v>
      </c>
      <c r="C13" s="6" t="s">
        <v>46</v>
      </c>
      <c r="D13" s="6" t="s">
        <v>60</v>
      </c>
      <c r="E13" s="6" t="s">
        <v>33</v>
      </c>
      <c r="F13" s="6" t="s">
        <v>228</v>
      </c>
      <c r="G13" s="7">
        <v>10</v>
      </c>
      <c r="H13" s="8"/>
      <c r="I13" s="9" t="s">
        <v>61</v>
      </c>
      <c r="J13" s="9"/>
    </row>
    <row r="14" spans="1:10">
      <c r="A14" s="6" t="s">
        <v>62</v>
      </c>
      <c r="B14" s="6" t="s">
        <v>15</v>
      </c>
      <c r="C14" s="6" t="s">
        <v>46</v>
      </c>
      <c r="D14" s="6" t="s">
        <v>63</v>
      </c>
      <c r="E14" s="6" t="s">
        <v>33</v>
      </c>
      <c r="F14" s="6" t="s">
        <v>229</v>
      </c>
      <c r="G14" s="7">
        <v>9</v>
      </c>
      <c r="H14" s="8"/>
      <c r="I14" s="9" t="s">
        <v>64</v>
      </c>
      <c r="J14" s="9"/>
    </row>
    <row r="15" spans="1:10">
      <c r="A15" s="6" t="s">
        <v>65</v>
      </c>
      <c r="B15" s="6" t="s">
        <v>15</v>
      </c>
      <c r="C15" s="6" t="s">
        <v>46</v>
      </c>
      <c r="D15" s="6" t="s">
        <v>66</v>
      </c>
      <c r="E15" s="6" t="s">
        <v>54</v>
      </c>
      <c r="F15" s="6" t="s">
        <v>67</v>
      </c>
      <c r="G15" s="7">
        <v>5</v>
      </c>
      <c r="H15" s="8"/>
      <c r="I15" s="9" t="s">
        <v>68</v>
      </c>
      <c r="J15" s="9"/>
    </row>
    <row r="16" spans="1:10">
      <c r="A16" s="6" t="s">
        <v>69</v>
      </c>
      <c r="B16" s="6" t="s">
        <v>15</v>
      </c>
      <c r="C16" s="6" t="s">
        <v>70</v>
      </c>
      <c r="D16" s="6" t="s">
        <v>71</v>
      </c>
      <c r="E16" s="6" t="s">
        <v>33</v>
      </c>
      <c r="F16" s="6" t="s">
        <v>228</v>
      </c>
      <c r="G16" s="7">
        <v>7</v>
      </c>
      <c r="H16" s="8">
        <v>5</v>
      </c>
      <c r="I16" s="9" t="s">
        <v>72</v>
      </c>
      <c r="J16" s="9"/>
    </row>
    <row r="17" spans="1:10">
      <c r="A17" s="6" t="s">
        <v>73</v>
      </c>
      <c r="B17" s="6" t="s">
        <v>15</v>
      </c>
      <c r="C17" s="6" t="s">
        <v>70</v>
      </c>
      <c r="D17" s="6" t="s">
        <v>74</v>
      </c>
      <c r="E17" s="6" t="s">
        <v>33</v>
      </c>
      <c r="F17" s="6" t="s">
        <v>34</v>
      </c>
      <c r="G17" s="7">
        <v>7</v>
      </c>
      <c r="H17" s="8">
        <v>5</v>
      </c>
      <c r="I17" s="9" t="s">
        <v>75</v>
      </c>
      <c r="J17" s="9"/>
    </row>
    <row r="18" spans="1:10">
      <c r="A18" s="6" t="s">
        <v>76</v>
      </c>
      <c r="B18" s="6" t="s">
        <v>15</v>
      </c>
      <c r="C18" s="6" t="s">
        <v>77</v>
      </c>
      <c r="D18" s="6" t="s">
        <v>78</v>
      </c>
      <c r="E18" s="6" t="s">
        <v>33</v>
      </c>
      <c r="F18" s="6" t="s">
        <v>229</v>
      </c>
      <c r="G18" s="7">
        <v>7</v>
      </c>
      <c r="H18" s="8"/>
      <c r="I18" s="9" t="s">
        <v>79</v>
      </c>
      <c r="J18" s="9"/>
    </row>
    <row r="19" spans="1:10">
      <c r="A19" s="6" t="s">
        <v>80</v>
      </c>
      <c r="B19" s="6" t="s">
        <v>15</v>
      </c>
      <c r="C19" s="6" t="s">
        <v>77</v>
      </c>
      <c r="D19" s="6" t="s">
        <v>81</v>
      </c>
      <c r="E19" s="6" t="s">
        <v>33</v>
      </c>
      <c r="F19" s="6" t="s">
        <v>229</v>
      </c>
      <c r="G19" s="7">
        <v>5</v>
      </c>
      <c r="H19" s="8"/>
      <c r="I19" s="9" t="s">
        <v>82</v>
      </c>
      <c r="J19" s="9"/>
    </row>
    <row r="20" spans="1:10">
      <c r="A20" s="6" t="s">
        <v>83</v>
      </c>
      <c r="B20" s="6" t="s">
        <v>15</v>
      </c>
      <c r="C20" s="6" t="s">
        <v>77</v>
      </c>
      <c r="D20" s="6" t="s">
        <v>84</v>
      </c>
      <c r="E20" s="6" t="s">
        <v>33</v>
      </c>
      <c r="F20" s="6" t="s">
        <v>229</v>
      </c>
      <c r="G20" s="7">
        <v>7</v>
      </c>
      <c r="H20" s="8"/>
      <c r="I20" s="9" t="s">
        <v>85</v>
      </c>
      <c r="J20" s="9"/>
    </row>
    <row r="21" spans="1:10">
      <c r="A21" s="6" t="s">
        <v>86</v>
      </c>
      <c r="B21" s="6" t="s">
        <v>15</v>
      </c>
      <c r="C21" s="6" t="s">
        <v>77</v>
      </c>
      <c r="D21" s="6" t="s">
        <v>87</v>
      </c>
      <c r="E21" s="6" t="s">
        <v>33</v>
      </c>
      <c r="F21" s="6" t="s">
        <v>67</v>
      </c>
      <c r="G21" s="7">
        <v>8</v>
      </c>
      <c r="H21" s="8"/>
      <c r="I21" s="9" t="s">
        <v>88</v>
      </c>
      <c r="J21" s="9"/>
    </row>
    <row r="22" spans="1:10">
      <c r="A22" s="6" t="s">
        <v>89</v>
      </c>
      <c r="B22" s="6" t="s">
        <v>15</v>
      </c>
      <c r="C22" s="6" t="s">
        <v>90</v>
      </c>
      <c r="D22" s="6" t="s">
        <v>91</v>
      </c>
      <c r="E22" s="6" t="s">
        <v>33</v>
      </c>
      <c r="F22" s="6" t="s">
        <v>228</v>
      </c>
      <c r="G22" s="7">
        <v>4</v>
      </c>
      <c r="H22" s="8">
        <v>2</v>
      </c>
      <c r="I22" s="9" t="s">
        <v>92</v>
      </c>
      <c r="J22" s="9"/>
    </row>
    <row r="23" spans="1:10">
      <c r="A23" s="6" t="s">
        <v>93</v>
      </c>
      <c r="B23" s="6" t="s">
        <v>15</v>
      </c>
      <c r="C23" s="6" t="s">
        <v>90</v>
      </c>
      <c r="D23" s="6" t="s">
        <v>94</v>
      </c>
      <c r="E23" s="6" t="s">
        <v>33</v>
      </c>
      <c r="F23" s="6" t="s">
        <v>228</v>
      </c>
      <c r="G23" s="7">
        <v>4</v>
      </c>
      <c r="H23" s="8">
        <v>4</v>
      </c>
      <c r="I23" s="9" t="s">
        <v>95</v>
      </c>
      <c r="J23" s="9"/>
    </row>
    <row r="24" spans="1:10">
      <c r="A24" s="6" t="s">
        <v>96</v>
      </c>
      <c r="B24" s="6" t="s">
        <v>16</v>
      </c>
      <c r="C24" s="6" t="s">
        <v>90</v>
      </c>
      <c r="D24" s="6" t="s">
        <v>97</v>
      </c>
      <c r="E24" s="6" t="s">
        <v>33</v>
      </c>
      <c r="F24" s="6" t="s">
        <v>229</v>
      </c>
      <c r="G24" s="7">
        <v>6</v>
      </c>
      <c r="H24" s="8"/>
      <c r="I24" s="9" t="s">
        <v>98</v>
      </c>
      <c r="J24" s="9"/>
    </row>
    <row r="25" spans="1:10">
      <c r="A25" s="6" t="s">
        <v>99</v>
      </c>
      <c r="B25" s="6" t="s">
        <v>16</v>
      </c>
      <c r="C25" s="6" t="s">
        <v>90</v>
      </c>
      <c r="D25" s="6" t="s">
        <v>100</v>
      </c>
      <c r="E25" s="6" t="s">
        <v>101</v>
      </c>
      <c r="F25" s="6" t="s">
        <v>67</v>
      </c>
      <c r="G25" s="7">
        <v>4</v>
      </c>
      <c r="H25" s="8"/>
      <c r="I25" s="9" t="s">
        <v>102</v>
      </c>
      <c r="J25" s="9"/>
    </row>
    <row r="26" spans="1:10">
      <c r="A26" s="6" t="s">
        <v>103</v>
      </c>
      <c r="B26" s="6" t="s">
        <v>15</v>
      </c>
      <c r="C26" s="6" t="s">
        <v>90</v>
      </c>
      <c r="D26" s="6" t="s">
        <v>104</v>
      </c>
      <c r="E26" s="6" t="s">
        <v>33</v>
      </c>
      <c r="F26" s="6" t="s">
        <v>67</v>
      </c>
      <c r="G26" s="7">
        <v>7</v>
      </c>
      <c r="H26" s="8"/>
      <c r="I26" s="9" t="s">
        <v>105</v>
      </c>
      <c r="J26" s="9"/>
    </row>
    <row r="27" spans="1:10">
      <c r="A27" s="6" t="s">
        <v>106</v>
      </c>
      <c r="B27" s="6" t="s">
        <v>16</v>
      </c>
      <c r="C27" s="6" t="s">
        <v>90</v>
      </c>
      <c r="D27" s="6" t="s">
        <v>107</v>
      </c>
      <c r="E27" s="6" t="s">
        <v>101</v>
      </c>
      <c r="F27" s="6" t="s">
        <v>67</v>
      </c>
      <c r="G27" s="7">
        <v>5</v>
      </c>
      <c r="H27" s="8"/>
      <c r="I27" s="9" t="s">
        <v>105</v>
      </c>
      <c r="J27" s="9"/>
    </row>
    <row r="28" spans="1:10">
      <c r="A28" s="6" t="s">
        <v>108</v>
      </c>
      <c r="B28" s="6" t="s">
        <v>16</v>
      </c>
      <c r="C28" s="6" t="s">
        <v>90</v>
      </c>
      <c r="D28" s="6" t="s">
        <v>109</v>
      </c>
      <c r="E28" s="6" t="s">
        <v>101</v>
      </c>
      <c r="F28" s="6" t="s">
        <v>67</v>
      </c>
      <c r="G28" s="7">
        <v>5</v>
      </c>
      <c r="H28" s="8"/>
      <c r="I28" s="9" t="s">
        <v>105</v>
      </c>
      <c r="J28" s="9"/>
    </row>
    <row r="29" spans="1:10">
      <c r="A29" s="6" t="s">
        <v>110</v>
      </c>
      <c r="B29" s="6" t="s">
        <v>15</v>
      </c>
      <c r="C29" s="6" t="s">
        <v>111</v>
      </c>
      <c r="D29" s="6" t="s">
        <v>112</v>
      </c>
      <c r="E29" s="6" t="s">
        <v>33</v>
      </c>
      <c r="F29" s="6" t="s">
        <v>34</v>
      </c>
      <c r="G29" s="7">
        <v>10</v>
      </c>
      <c r="H29" s="8"/>
      <c r="I29" s="9" t="s">
        <v>113</v>
      </c>
      <c r="J29" s="9"/>
    </row>
    <row r="30" spans="1:10">
      <c r="A30" s="6" t="s">
        <v>114</v>
      </c>
      <c r="B30" s="6" t="s">
        <v>16</v>
      </c>
      <c r="C30" s="6" t="s">
        <v>111</v>
      </c>
      <c r="D30" s="6" t="s">
        <v>115</v>
      </c>
      <c r="E30" s="6" t="s">
        <v>101</v>
      </c>
      <c r="F30" s="6" t="s">
        <v>67</v>
      </c>
      <c r="G30" s="7">
        <v>10</v>
      </c>
      <c r="H30" s="8"/>
      <c r="I30" s="9" t="s">
        <v>105</v>
      </c>
      <c r="J30" s="9"/>
    </row>
    <row r="31" spans="1:10">
      <c r="A31" s="6" t="s">
        <v>116</v>
      </c>
      <c r="B31" s="6" t="s">
        <v>16</v>
      </c>
      <c r="C31" s="6" t="s">
        <v>111</v>
      </c>
      <c r="D31" s="6" t="s">
        <v>117</v>
      </c>
      <c r="E31" s="6" t="s">
        <v>101</v>
      </c>
      <c r="F31" s="6" t="s">
        <v>67</v>
      </c>
      <c r="G31" s="7">
        <v>10</v>
      </c>
      <c r="H31" s="8"/>
      <c r="I31" s="9" t="s">
        <v>105</v>
      </c>
      <c r="J31" s="9"/>
    </row>
    <row r="32" spans="1:10">
      <c r="A32" s="6" t="s">
        <v>118</v>
      </c>
      <c r="B32" s="6" t="s">
        <v>15</v>
      </c>
      <c r="C32" s="6" t="s">
        <v>119</v>
      </c>
      <c r="D32" s="6" t="s">
        <v>120</v>
      </c>
      <c r="E32" s="6" t="s">
        <v>33</v>
      </c>
      <c r="F32" s="6" t="s">
        <v>228</v>
      </c>
      <c r="G32" s="7">
        <v>15</v>
      </c>
      <c r="H32" s="8">
        <v>15</v>
      </c>
      <c r="I32" s="9" t="s">
        <v>121</v>
      </c>
      <c r="J32" s="9"/>
    </row>
    <row r="33" spans="1:10">
      <c r="A33" s="6" t="s">
        <v>122</v>
      </c>
      <c r="B33" s="6" t="s">
        <v>15</v>
      </c>
      <c r="C33" s="6" t="s">
        <v>119</v>
      </c>
      <c r="D33" s="6" t="s">
        <v>123</v>
      </c>
      <c r="E33" s="6" t="s">
        <v>33</v>
      </c>
      <c r="F33" s="6" t="s">
        <v>228</v>
      </c>
      <c r="G33" s="7">
        <v>15</v>
      </c>
      <c r="H33" s="8">
        <v>10</v>
      </c>
      <c r="I33" s="9" t="s">
        <v>124</v>
      </c>
      <c r="J33" s="9"/>
    </row>
    <row r="34" spans="1:10">
      <c r="A34" s="6" t="s">
        <v>125</v>
      </c>
      <c r="B34" s="6" t="s">
        <v>15</v>
      </c>
      <c r="C34" s="6" t="s">
        <v>126</v>
      </c>
      <c r="D34" s="6" t="s">
        <v>127</v>
      </c>
      <c r="E34" s="6" t="s">
        <v>33</v>
      </c>
      <c r="F34" s="6" t="s">
        <v>229</v>
      </c>
      <c r="G34" s="7">
        <v>5</v>
      </c>
      <c r="H34" s="8"/>
      <c r="I34" s="9" t="s">
        <v>128</v>
      </c>
      <c r="J34" s="9"/>
    </row>
    <row r="35" spans="1:10">
      <c r="A35" s="6" t="s">
        <v>129</v>
      </c>
      <c r="B35" s="6" t="s">
        <v>15</v>
      </c>
      <c r="C35" s="6" t="s">
        <v>126</v>
      </c>
      <c r="D35" s="6" t="s">
        <v>130</v>
      </c>
      <c r="E35" s="6" t="s">
        <v>33</v>
      </c>
      <c r="F35" s="6" t="s">
        <v>229</v>
      </c>
      <c r="G35" s="7">
        <v>5</v>
      </c>
      <c r="H35" s="8"/>
      <c r="I35" s="9" t="s">
        <v>131</v>
      </c>
      <c r="J35" s="9"/>
    </row>
    <row r="36" spans="1:10">
      <c r="A36" s="6" t="s">
        <v>132</v>
      </c>
      <c r="B36" s="6" t="s">
        <v>16</v>
      </c>
      <c r="C36" s="6" t="s">
        <v>126</v>
      </c>
      <c r="D36" s="6" t="s">
        <v>133</v>
      </c>
      <c r="E36" s="6" t="s">
        <v>33</v>
      </c>
      <c r="F36" s="6" t="s">
        <v>229</v>
      </c>
      <c r="G36" s="7">
        <v>5</v>
      </c>
      <c r="H36" s="8"/>
      <c r="I36" s="9" t="s">
        <v>134</v>
      </c>
      <c r="J36" s="9"/>
    </row>
    <row r="37" spans="1:10">
      <c r="A37" s="6" t="s">
        <v>135</v>
      </c>
      <c r="B37" s="6" t="s">
        <v>17</v>
      </c>
      <c r="C37" s="6" t="s">
        <v>126</v>
      </c>
      <c r="D37" s="6" t="s">
        <v>136</v>
      </c>
      <c r="E37" s="6" t="s">
        <v>33</v>
      </c>
      <c r="F37" s="6" t="s">
        <v>67</v>
      </c>
      <c r="G37" s="7">
        <v>5</v>
      </c>
      <c r="H37" s="8"/>
      <c r="I37" s="9" t="s">
        <v>105</v>
      </c>
      <c r="J37" s="9"/>
    </row>
    <row r="38" spans="1:10">
      <c r="A38" s="6" t="s">
        <v>137</v>
      </c>
      <c r="B38" s="6" t="s">
        <v>16</v>
      </c>
      <c r="C38" s="6" t="s">
        <v>138</v>
      </c>
      <c r="D38" s="6" t="s">
        <v>139</v>
      </c>
      <c r="E38" s="6" t="s">
        <v>33</v>
      </c>
      <c r="F38" s="6" t="s">
        <v>67</v>
      </c>
      <c r="G38" s="7">
        <v>2</v>
      </c>
      <c r="H38" s="8"/>
      <c r="I38" s="9" t="s">
        <v>105</v>
      </c>
      <c r="J38" s="9"/>
    </row>
    <row r="39" spans="1:10">
      <c r="A39" s="6" t="s">
        <v>140</v>
      </c>
      <c r="B39" s="6" t="s">
        <v>16</v>
      </c>
      <c r="C39" s="6" t="s">
        <v>138</v>
      </c>
      <c r="D39" s="6" t="s">
        <v>141</v>
      </c>
      <c r="E39" s="6" t="s">
        <v>33</v>
      </c>
      <c r="F39" s="6" t="s">
        <v>67</v>
      </c>
      <c r="G39" s="7">
        <v>4</v>
      </c>
      <c r="H39" s="8"/>
      <c r="I39" s="9" t="s">
        <v>142</v>
      </c>
      <c r="J39" s="9"/>
    </row>
    <row r="40" spans="1:10">
      <c r="A40" s="6" t="s">
        <v>143</v>
      </c>
      <c r="B40" s="6" t="s">
        <v>16</v>
      </c>
      <c r="C40" s="6" t="s">
        <v>138</v>
      </c>
      <c r="D40" s="6" t="s">
        <v>144</v>
      </c>
      <c r="E40" s="6" t="s">
        <v>33</v>
      </c>
      <c r="F40" s="6" t="s">
        <v>67</v>
      </c>
      <c r="G40" s="7">
        <v>2</v>
      </c>
      <c r="H40" s="8"/>
      <c r="I40" s="9" t="s">
        <v>105</v>
      </c>
      <c r="J40" s="9"/>
    </row>
    <row r="41" spans="1:10">
      <c r="A41" s="6" t="s">
        <v>145</v>
      </c>
      <c r="B41" s="6" t="s">
        <v>17</v>
      </c>
      <c r="C41" s="6" t="s">
        <v>138</v>
      </c>
      <c r="D41" s="6" t="s">
        <v>146</v>
      </c>
      <c r="E41" s="6" t="s">
        <v>33</v>
      </c>
      <c r="F41" s="6" t="s">
        <v>67</v>
      </c>
      <c r="G41" s="7">
        <v>4</v>
      </c>
      <c r="H41" s="8"/>
      <c r="I41" s="9" t="s">
        <v>105</v>
      </c>
      <c r="J41" s="9"/>
    </row>
    <row r="42" spans="1:10">
      <c r="A42" s="6" t="s">
        <v>147</v>
      </c>
      <c r="B42" s="6" t="s">
        <v>15</v>
      </c>
      <c r="C42" s="6" t="s">
        <v>148</v>
      </c>
      <c r="D42" s="6" t="s">
        <v>149</v>
      </c>
      <c r="E42" s="6" t="s">
        <v>33</v>
      </c>
      <c r="F42" s="6" t="s">
        <v>228</v>
      </c>
      <c r="G42" s="7">
        <v>3</v>
      </c>
      <c r="H42" s="8">
        <v>2</v>
      </c>
      <c r="I42" s="9" t="s">
        <v>150</v>
      </c>
      <c r="J42" s="9"/>
    </row>
    <row r="43" spans="1:10">
      <c r="A43" s="6" t="s">
        <v>151</v>
      </c>
      <c r="B43" s="6" t="s">
        <v>15</v>
      </c>
      <c r="C43" s="6" t="s">
        <v>148</v>
      </c>
      <c r="D43" s="6" t="s">
        <v>152</v>
      </c>
      <c r="E43" s="6" t="s">
        <v>33</v>
      </c>
      <c r="F43" s="6" t="s">
        <v>229</v>
      </c>
      <c r="G43" s="7">
        <v>5</v>
      </c>
      <c r="H43" s="8"/>
      <c r="I43" s="9" t="s">
        <v>153</v>
      </c>
      <c r="J43" s="9"/>
    </row>
    <row r="44" spans="1:10">
      <c r="A44" s="6" t="s">
        <v>154</v>
      </c>
      <c r="B44" s="6" t="s">
        <v>16</v>
      </c>
      <c r="C44" s="6" t="s">
        <v>148</v>
      </c>
      <c r="D44" s="6" t="s">
        <v>155</v>
      </c>
      <c r="E44" s="6" t="s">
        <v>33</v>
      </c>
      <c r="F44" s="6" t="s">
        <v>67</v>
      </c>
      <c r="G44" s="7">
        <v>3</v>
      </c>
      <c r="H44" s="8"/>
      <c r="I44" s="9" t="s">
        <v>105</v>
      </c>
      <c r="J44" s="9"/>
    </row>
    <row r="45" spans="1:10">
      <c r="A45" s="6" t="s">
        <v>156</v>
      </c>
      <c r="B45" s="6" t="s">
        <v>16</v>
      </c>
      <c r="C45" s="6" t="s">
        <v>148</v>
      </c>
      <c r="D45" s="6" t="s">
        <v>157</v>
      </c>
      <c r="E45" s="6" t="s">
        <v>33</v>
      </c>
      <c r="F45" s="6" t="s">
        <v>67</v>
      </c>
      <c r="G45" s="7">
        <v>3</v>
      </c>
      <c r="H45" s="8"/>
      <c r="I45" s="9" t="s">
        <v>105</v>
      </c>
      <c r="J45" s="9"/>
    </row>
    <row r="46" spans="1:10">
      <c r="A46" s="6" t="s">
        <v>158</v>
      </c>
      <c r="B46" s="6" t="s">
        <v>16</v>
      </c>
      <c r="C46" s="6" t="s">
        <v>148</v>
      </c>
      <c r="D46" s="6" t="s">
        <v>159</v>
      </c>
      <c r="E46" s="6" t="s">
        <v>33</v>
      </c>
      <c r="F46" s="6" t="s">
        <v>67</v>
      </c>
      <c r="G46" s="7">
        <v>3</v>
      </c>
      <c r="H46" s="8"/>
      <c r="I46" s="9" t="s">
        <v>105</v>
      </c>
      <c r="J46" s="9"/>
    </row>
    <row r="47" spans="1:10">
      <c r="A47" s="6" t="s">
        <v>160</v>
      </c>
      <c r="B47" s="6" t="s">
        <v>16</v>
      </c>
      <c r="C47" s="6" t="s">
        <v>148</v>
      </c>
      <c r="D47" s="6" t="s">
        <v>161</v>
      </c>
      <c r="E47" s="6" t="s">
        <v>33</v>
      </c>
      <c r="F47" s="6" t="s">
        <v>67</v>
      </c>
      <c r="G47" s="7">
        <v>3</v>
      </c>
      <c r="H47" s="8"/>
      <c r="I47" s="9" t="s">
        <v>105</v>
      </c>
      <c r="J47" s="9"/>
    </row>
    <row r="48" spans="1:10">
      <c r="A48" s="6" t="s">
        <v>162</v>
      </c>
      <c r="B48" s="6" t="s">
        <v>16</v>
      </c>
      <c r="C48" s="6" t="s">
        <v>148</v>
      </c>
      <c r="D48" s="6" t="s">
        <v>163</v>
      </c>
      <c r="E48" s="6" t="s">
        <v>33</v>
      </c>
      <c r="F48" s="6" t="s">
        <v>67</v>
      </c>
      <c r="G48" s="7">
        <v>3</v>
      </c>
      <c r="H48" s="8"/>
      <c r="I48" s="9" t="s">
        <v>105</v>
      </c>
      <c r="J48" s="9"/>
    </row>
    <row r="49" spans="1:10">
      <c r="A49" s="6" t="s">
        <v>164</v>
      </c>
      <c r="B49" s="6" t="s">
        <v>16</v>
      </c>
      <c r="C49" s="6" t="s">
        <v>148</v>
      </c>
      <c r="D49" s="6" t="s">
        <v>165</v>
      </c>
      <c r="E49" s="6" t="s">
        <v>101</v>
      </c>
      <c r="F49" s="6" t="s">
        <v>67</v>
      </c>
      <c r="G49" s="7">
        <v>5</v>
      </c>
      <c r="H49" s="8"/>
      <c r="I49" s="9" t="s">
        <v>105</v>
      </c>
      <c r="J49" s="9"/>
    </row>
    <row r="50" spans="1:10">
      <c r="A50" s="6" t="s">
        <v>166</v>
      </c>
      <c r="B50" s="6" t="s">
        <v>15</v>
      </c>
      <c r="C50" s="6" t="s">
        <v>31</v>
      </c>
      <c r="D50" s="6" t="s">
        <v>167</v>
      </c>
      <c r="E50" s="6" t="s">
        <v>33</v>
      </c>
      <c r="F50" s="6" t="s">
        <v>168</v>
      </c>
      <c r="G50" s="7">
        <v>6</v>
      </c>
      <c r="H50" s="8"/>
      <c r="I50" s="9" t="s">
        <v>169</v>
      </c>
      <c r="J50" s="9" t="s">
        <v>170</v>
      </c>
    </row>
    <row r="51" spans="1:10">
      <c r="A51" s="6" t="s">
        <v>171</v>
      </c>
      <c r="B51" s="6" t="s">
        <v>15</v>
      </c>
      <c r="C51" s="6" t="s">
        <v>31</v>
      </c>
      <c r="D51" s="6" t="s">
        <v>172</v>
      </c>
      <c r="E51" s="6" t="s">
        <v>33</v>
      </c>
      <c r="F51" s="6" t="s">
        <v>168</v>
      </c>
      <c r="G51" s="7">
        <v>8</v>
      </c>
      <c r="H51" s="8"/>
      <c r="I51" s="9" t="s">
        <v>173</v>
      </c>
      <c r="J51" s="9" t="s">
        <v>174</v>
      </c>
    </row>
    <row r="52" spans="1:10">
      <c r="A52" s="6" t="s">
        <v>175</v>
      </c>
      <c r="B52" s="6" t="s">
        <v>15</v>
      </c>
      <c r="C52" s="6" t="s">
        <v>63</v>
      </c>
      <c r="D52" s="6" t="s">
        <v>176</v>
      </c>
      <c r="E52" s="6" t="s">
        <v>33</v>
      </c>
      <c r="F52" s="6" t="s">
        <v>168</v>
      </c>
      <c r="G52" s="7">
        <v>8</v>
      </c>
      <c r="H52" s="8"/>
      <c r="I52" s="9" t="s">
        <v>177</v>
      </c>
      <c r="J52" s="9"/>
    </row>
    <row r="53" spans="1:10">
      <c r="A53" s="6" t="s">
        <v>178</v>
      </c>
      <c r="B53" s="6" t="s">
        <v>16</v>
      </c>
      <c r="C53" s="6" t="s">
        <v>90</v>
      </c>
      <c r="D53" s="6" t="s">
        <v>179</v>
      </c>
      <c r="E53" s="6" t="s">
        <v>33</v>
      </c>
      <c r="F53" s="6" t="s">
        <v>168</v>
      </c>
      <c r="G53" s="7">
        <v>10</v>
      </c>
      <c r="H53" s="8"/>
      <c r="I53" s="9" t="s">
        <v>180</v>
      </c>
      <c r="J53" s="9"/>
    </row>
    <row r="54" spans="1:10">
      <c r="A54" s="6" t="s">
        <v>181</v>
      </c>
      <c r="B54" s="6" t="s">
        <v>16</v>
      </c>
      <c r="C54" s="6" t="s">
        <v>77</v>
      </c>
      <c r="D54" s="6" t="s">
        <v>182</v>
      </c>
      <c r="E54" s="6" t="s">
        <v>33</v>
      </c>
      <c r="F54" s="6" t="s">
        <v>168</v>
      </c>
      <c r="G54" s="7">
        <v>8</v>
      </c>
      <c r="H54" s="8"/>
      <c r="I54" s="9" t="s">
        <v>183</v>
      </c>
      <c r="J54" s="9"/>
    </row>
    <row r="55" spans="1:10">
      <c r="A55" s="6" t="s">
        <v>184</v>
      </c>
      <c r="B55" s="6" t="s">
        <v>16</v>
      </c>
      <c r="C55" s="6" t="s">
        <v>90</v>
      </c>
      <c r="D55" s="6" t="s">
        <v>185</v>
      </c>
      <c r="E55" s="6" t="s">
        <v>33</v>
      </c>
      <c r="F55" s="6" t="s">
        <v>168</v>
      </c>
      <c r="G55" s="7">
        <v>8</v>
      </c>
      <c r="H55" s="8"/>
      <c r="I55" s="9" t="s">
        <v>186</v>
      </c>
      <c r="J55" s="9"/>
    </row>
    <row r="56" spans="1:10">
      <c r="A56" s="6" t="s">
        <v>187</v>
      </c>
      <c r="B56" s="6" t="s">
        <v>15</v>
      </c>
      <c r="C56" s="6" t="s">
        <v>111</v>
      </c>
      <c r="D56" s="6" t="s">
        <v>188</v>
      </c>
      <c r="E56" s="6" t="s">
        <v>33</v>
      </c>
      <c r="F56" s="6" t="s">
        <v>168</v>
      </c>
      <c r="G56" s="7">
        <v>8</v>
      </c>
      <c r="H56" s="8"/>
      <c r="I56" s="9" t="s">
        <v>189</v>
      </c>
      <c r="J56" s="9"/>
    </row>
    <row r="57" spans="1:10">
      <c r="A57" s="6" t="s">
        <v>190</v>
      </c>
      <c r="B57" s="6" t="s">
        <v>16</v>
      </c>
      <c r="C57" s="6" t="s">
        <v>191</v>
      </c>
      <c r="D57" s="6" t="s">
        <v>192</v>
      </c>
      <c r="E57" s="6" t="s">
        <v>33</v>
      </c>
      <c r="F57" s="6" t="s">
        <v>168</v>
      </c>
      <c r="G57" s="7">
        <v>8</v>
      </c>
      <c r="H57" s="8"/>
      <c r="I57" s="9" t="s">
        <v>193</v>
      </c>
      <c r="J57" s="9"/>
    </row>
    <row r="58" spans="1:10">
      <c r="A58" s="6" t="s">
        <v>194</v>
      </c>
      <c r="B58" s="6" t="s">
        <v>17</v>
      </c>
      <c r="C58" s="6" t="s">
        <v>195</v>
      </c>
      <c r="D58" s="6" t="s">
        <v>196</v>
      </c>
      <c r="E58" s="6" t="s">
        <v>33</v>
      </c>
      <c r="F58" s="6" t="s">
        <v>168</v>
      </c>
      <c r="G58" s="7">
        <v>10</v>
      </c>
      <c r="H58" s="8"/>
      <c r="I58" s="9" t="s">
        <v>197</v>
      </c>
      <c r="J58" s="9"/>
    </row>
    <row r="59" spans="1:10">
      <c r="A59" s="6" t="s">
        <v>198</v>
      </c>
      <c r="B59" s="6" t="s">
        <v>17</v>
      </c>
      <c r="C59" s="6" t="s">
        <v>138</v>
      </c>
      <c r="D59" s="6" t="s">
        <v>199</v>
      </c>
      <c r="E59" s="6" t="s">
        <v>101</v>
      </c>
      <c r="F59" s="6" t="s">
        <v>168</v>
      </c>
      <c r="G59" s="7">
        <v>6</v>
      </c>
      <c r="H59" s="8"/>
      <c r="I59" s="9" t="s">
        <v>200</v>
      </c>
      <c r="J59" s="9"/>
    </row>
    <row r="60" spans="1:10">
      <c r="A60" s="6" t="s">
        <v>201</v>
      </c>
      <c r="B60" s="6" t="s">
        <v>18</v>
      </c>
      <c r="C60" s="6" t="s">
        <v>202</v>
      </c>
      <c r="D60" s="6" t="s">
        <v>203</v>
      </c>
      <c r="E60" s="6" t="s">
        <v>33</v>
      </c>
      <c r="F60" s="6" t="s">
        <v>168</v>
      </c>
      <c r="G60" s="7">
        <v>8</v>
      </c>
      <c r="H60" s="8"/>
      <c r="I60" s="9" t="s">
        <v>204</v>
      </c>
      <c r="J60" s="9" t="s">
        <v>205</v>
      </c>
    </row>
  </sheetData>
  <phoneticPr fontId="12"/>
  <dataValidations count="1">
    <dataValidation type="list" sqref="F5:F60" xr:uid="{00000000-0002-0000-0100-000000000000}">
      <formula1>"未着手,一部実装,コードあり・要確認,進行中,完了,計画追加"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Q42"/>
  <sheetViews>
    <sheetView showGridLines="0" topLeftCell="D1" zoomScaleNormal="100" workbookViewId="0">
      <pane ySplit="3" topLeftCell="A4" activePane="bottomLeft" state="frozen"/>
      <selection pane="bottomLeft" activeCell="I24" sqref="I24"/>
    </sheetView>
  </sheetViews>
  <sheetFormatPr defaultRowHeight="14.25"/>
  <cols>
    <col min="1" max="2" width="14" customWidth="1"/>
    <col min="3" max="4" width="12" customWidth="1"/>
    <col min="5" max="6" width="16" customWidth="1"/>
    <col min="7" max="7" width="14" customWidth="1"/>
    <col min="8" max="8" width="22" customWidth="1"/>
    <col min="9" max="9" width="74" customWidth="1"/>
    <col min="10" max="10" width="3" customWidth="1"/>
    <col min="11" max="17" width="7" customWidth="1"/>
  </cols>
  <sheetData>
    <row r="1" spans="1:17" ht="19.5">
      <c r="A1" s="1" t="s">
        <v>206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7">
      <c r="A2" s="2" t="s">
        <v>207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7">
      <c r="A3" s="12" t="s">
        <v>12</v>
      </c>
      <c r="B3" s="12" t="s">
        <v>13</v>
      </c>
      <c r="C3" s="12" t="s">
        <v>208</v>
      </c>
      <c r="D3" s="12" t="s">
        <v>6</v>
      </c>
      <c r="E3" s="12" t="s">
        <v>209</v>
      </c>
      <c r="F3" s="12" t="s">
        <v>210</v>
      </c>
      <c r="G3" s="12" t="s">
        <v>4</v>
      </c>
      <c r="H3" s="12" t="s">
        <v>5</v>
      </c>
      <c r="I3" s="12" t="s">
        <v>211</v>
      </c>
    </row>
    <row r="4" spans="1:17" ht="36" customHeight="1">
      <c r="A4" s="6" t="s">
        <v>15</v>
      </c>
      <c r="B4" s="13">
        <v>46326</v>
      </c>
      <c r="C4" s="14">
        <f ca="1">MAX(0,B4-TODAY())</f>
        <v>19</v>
      </c>
      <c r="D4" s="14">
        <f ca="1">MAX(0,NETWORKDAYS(TODAY()+1,B4))</f>
        <v>14</v>
      </c>
      <c r="E4" s="14">
        <f>SUMIF(タスク!$B$5:$B$60,"プロト",タスク!$G$5:$G$60)</f>
        <v>187</v>
      </c>
      <c r="F4" s="15">
        <f>IF(COUNT(タスク!$H$5:$H$60)=0,"",SUMIF(タスク!$B$5:$B$60,"プロト",タスク!$H$5:$H$60))</f>
        <v>56</v>
      </c>
      <c r="G4" s="15">
        <f>E4-IF(F4="",0,F4)</f>
        <v>131</v>
      </c>
      <c r="H4" s="16">
        <f ca="1">IF(D4=0,"",MAX(0,G4)/D4)</f>
        <v>9.3571428571428577</v>
      </c>
      <c r="I4" s="17" t="s">
        <v>212</v>
      </c>
    </row>
    <row r="5" spans="1:17" ht="36" customHeight="1">
      <c r="A5" s="6" t="s">
        <v>16</v>
      </c>
      <c r="B5" s="13">
        <v>46351</v>
      </c>
      <c r="C5" s="14">
        <f ca="1">MAX(0,B5-TODAY())</f>
        <v>44</v>
      </c>
      <c r="D5" s="14">
        <f ca="1">MAX(0,NETWORKDAYS(TODAY()+1,B5))</f>
        <v>32</v>
      </c>
      <c r="E5" s="14">
        <f>SUMIF(タスク!$B$5:$B$60,"プロト",タスク!$G$5:$G$60)+SUMIF(タスク!$B$5:$B$60,"アルファ",タスク!$G$5:$G$60)</f>
        <v>294</v>
      </c>
      <c r="F5" s="15">
        <f>IF(COUNT(タスク!$H$5:$H$60)=0,"",SUMIF(タスク!$B$5:$B$60,"プロト",タスク!$H$5:$H$60)+SUMIF(タスク!$B$5:$B$60,"アルファ",タスク!$H$5:$H$60))</f>
        <v>56</v>
      </c>
      <c r="G5" s="15">
        <f>E5-IF(F5="",0,F5)</f>
        <v>238</v>
      </c>
      <c r="H5" s="16">
        <f ca="1">IF(D5=0,"",MAX(0,G5)/D5)</f>
        <v>7.4375</v>
      </c>
      <c r="I5" s="17" t="s">
        <v>213</v>
      </c>
    </row>
    <row r="6" spans="1:17" ht="36" customHeight="1">
      <c r="A6" s="6" t="s">
        <v>17</v>
      </c>
      <c r="B6" s="13">
        <v>46372</v>
      </c>
      <c r="C6" s="14">
        <f ca="1">MAX(0,B6-TODAY())</f>
        <v>65</v>
      </c>
      <c r="D6" s="14">
        <f ca="1">MAX(0,NETWORKDAYS(TODAY()+1,B6))</f>
        <v>47</v>
      </c>
      <c r="E6" s="14">
        <f>SUMIF(タスク!$B$5:$B$60,"プロト",タスク!$G$5:$G$60)+SUMIF(タスク!$B$5:$B$60,"アルファ",タスク!$G$5:$G$60)+SUMIF(タスク!$B$5:$B$60,"ベータ",タスク!$G$5:$G$60)</f>
        <v>319</v>
      </c>
      <c r="F6" s="15">
        <f>IF(COUNT(タスク!$H$5:$H$60)=0,"",SUMIF(タスク!$B$5:$B$60,"プロト",タスク!$H$5:$H$60)+SUMIF(タスク!$B$5:$B$60,"アルファ",タスク!$H$5:$H$60)+SUMIF(タスク!$B$5:$B$60,"ベータ",タスク!$H$5:$H$60))</f>
        <v>56</v>
      </c>
      <c r="G6" s="15">
        <f>E6-IF(F6="",0,F6)</f>
        <v>263</v>
      </c>
      <c r="H6" s="16">
        <f ca="1">IF(D6=0,"",MAX(0,G6)/D6)</f>
        <v>5.5957446808510642</v>
      </c>
      <c r="I6" s="17" t="s">
        <v>214</v>
      </c>
    </row>
    <row r="7" spans="1:17" ht="36" customHeight="1">
      <c r="A7" s="6" t="s">
        <v>18</v>
      </c>
      <c r="B7" s="13">
        <v>46387</v>
      </c>
      <c r="C7" s="14">
        <f ca="1">MAX(0,B7-TODAY())</f>
        <v>80</v>
      </c>
      <c r="D7" s="14">
        <f ca="1">MAX(0,NETWORKDAYS(TODAY()+1,B7))</f>
        <v>58</v>
      </c>
      <c r="E7" s="14">
        <f>SUMIF(タスク!$B$5:$B$60,"プロト",タスク!$G$5:$G$60)+SUMIF(タスク!$B$5:$B$60,"アルファ",タスク!$G$5:$G$60)+SUMIF(タスク!$B$5:$B$60,"ベータ",タスク!$G$5:$G$60)+SUMIF(タスク!$B$5:$B$60,"マスター",タスク!$G$5:$G$60)</f>
        <v>327</v>
      </c>
      <c r="F7" s="15">
        <f>IF(COUNT(タスク!$H$5:$H$60)=0,"",SUMIF(タスク!$B$5:$B$60,"プロト",タスク!$H$5:$H$60)+SUMIF(タスク!$B$5:$B$60,"アルファ",タスク!$H$5:$H$60)+SUMIF(タスク!$B$5:$B$60,"ベータ",タスク!$H$5:$H$60)+SUMIF(タスク!$B$5:$B$60,"マスター",タスク!$H$5:$H$60))</f>
        <v>56</v>
      </c>
      <c r="G7" s="15">
        <f>E7-IF(F7="",0,F7)</f>
        <v>271</v>
      </c>
      <c r="H7" s="16">
        <f ca="1">IF(D7=0,"",MAX(0,G7)/D7)</f>
        <v>4.6724137931034484</v>
      </c>
      <c r="I7" s="17" t="s">
        <v>215</v>
      </c>
    </row>
    <row r="8" spans="1:17" ht="36" customHeight="1">
      <c r="A8" s="6" t="s">
        <v>19</v>
      </c>
      <c r="B8" s="13">
        <v>46387</v>
      </c>
      <c r="C8" s="14">
        <f ca="1">MAX(0,B8-TODAY())</f>
        <v>80</v>
      </c>
      <c r="D8" s="14">
        <f ca="1">MAX(0,NETWORKDAYS(TODAY()+1,B8))</f>
        <v>58</v>
      </c>
      <c r="E8" s="14">
        <f>SUMIF(タスク!$B$5:$B$60,"プロト",タスク!$G$5:$G$60)+SUMIF(タスク!$B$5:$B$60,"アルファ",タスク!$G$5:$G$60)+SUMIF(タスク!$B$5:$B$60,"ベータ",タスク!$G$5:$G$60)+SUMIF(タスク!$B$5:$B$60,"マスター",タスク!$G$5:$G$60)</f>
        <v>327</v>
      </c>
      <c r="F8" s="15">
        <f>IF(COUNT(タスク!$H$5:$H$60)=0,"",SUMIF(タスク!$B$5:$B$60,"プロト",タスク!$H$5:$H$60)+SUMIF(タスク!$B$5:$B$60,"アルファ",タスク!$H$5:$H$60)+SUMIF(タスク!$B$5:$B$60,"ベータ",タスク!$H$5:$H$60)+SUMIF(タスク!$B$5:$B$60,"マスター",タスク!$H$5:$H$60))</f>
        <v>56</v>
      </c>
      <c r="G8" s="15">
        <f>E8-IF(F8="",0,F8)</f>
        <v>271</v>
      </c>
      <c r="H8" s="16">
        <f ca="1">IF(D8=0,"",MAX(0,G8)/D8)</f>
        <v>4.6724137931034484</v>
      </c>
      <c r="I8" s="17" t="s">
        <v>19</v>
      </c>
    </row>
    <row r="11" spans="1:17">
      <c r="K11" s="18"/>
      <c r="L11" s="18"/>
      <c r="M11" s="18"/>
      <c r="N11" s="18"/>
      <c r="O11" s="18"/>
      <c r="P11" s="18"/>
      <c r="Q11" s="18"/>
    </row>
    <row r="12" spans="1:17">
      <c r="K12" s="10" t="s">
        <v>223</v>
      </c>
      <c r="L12" s="10"/>
      <c r="M12" s="10"/>
      <c r="N12" s="10"/>
      <c r="O12" s="10"/>
      <c r="P12" s="10"/>
      <c r="Q12" s="10"/>
    </row>
    <row r="13" spans="1:17" ht="21.95" customHeight="1">
      <c r="K13" s="11" t="s">
        <v>216</v>
      </c>
      <c r="L13" s="11" t="s">
        <v>217</v>
      </c>
      <c r="M13" s="11" t="s">
        <v>218</v>
      </c>
      <c r="N13" s="11" t="s">
        <v>219</v>
      </c>
      <c r="O13" s="11" t="s">
        <v>220</v>
      </c>
      <c r="P13" s="11" t="s">
        <v>221</v>
      </c>
      <c r="Q13" s="11" t="s">
        <v>222</v>
      </c>
    </row>
    <row r="14" spans="1:17" ht="21.95" customHeight="1">
      <c r="K14" s="11"/>
      <c r="L14" s="11"/>
      <c r="M14" s="11"/>
      <c r="N14" s="11"/>
      <c r="O14" s="41">
        <v>1</v>
      </c>
      <c r="P14" s="41">
        <v>2</v>
      </c>
      <c r="Q14" s="41">
        <v>3</v>
      </c>
    </row>
    <row r="15" spans="1:17" ht="21.95" customHeight="1">
      <c r="K15" s="41">
        <v>4</v>
      </c>
      <c r="L15" s="41">
        <v>5</v>
      </c>
      <c r="M15" s="41">
        <v>6</v>
      </c>
      <c r="N15" s="41">
        <v>7</v>
      </c>
      <c r="O15" s="41">
        <v>8</v>
      </c>
      <c r="P15" s="41">
        <v>9</v>
      </c>
      <c r="Q15" s="41">
        <v>10</v>
      </c>
    </row>
    <row r="16" spans="1:17" ht="21.95" customHeight="1">
      <c r="K16" s="41">
        <v>11</v>
      </c>
      <c r="L16" s="41">
        <v>12</v>
      </c>
      <c r="M16" s="41">
        <v>13</v>
      </c>
      <c r="N16" s="41">
        <v>14</v>
      </c>
      <c r="O16" s="41">
        <v>15</v>
      </c>
      <c r="P16" s="41">
        <v>16</v>
      </c>
      <c r="Q16" s="41">
        <v>17</v>
      </c>
    </row>
    <row r="17" spans="11:17" ht="21.95" customHeight="1">
      <c r="K17" s="41">
        <v>18</v>
      </c>
      <c r="L17" s="41">
        <v>19</v>
      </c>
      <c r="M17" s="41">
        <v>20</v>
      </c>
      <c r="N17" s="41">
        <v>21</v>
      </c>
      <c r="O17" s="41">
        <v>22</v>
      </c>
      <c r="P17" s="41">
        <v>23</v>
      </c>
      <c r="Q17" s="41">
        <v>24</v>
      </c>
    </row>
    <row r="18" spans="11:17" ht="21.95" customHeight="1">
      <c r="K18" s="41">
        <v>25</v>
      </c>
      <c r="L18" s="41">
        <v>26</v>
      </c>
      <c r="M18" s="41">
        <v>27</v>
      </c>
      <c r="N18" s="41">
        <v>28</v>
      </c>
      <c r="O18" s="41">
        <v>29</v>
      </c>
      <c r="P18" s="41">
        <v>30</v>
      </c>
      <c r="Q18" s="41">
        <v>31</v>
      </c>
    </row>
    <row r="19" spans="11:17">
      <c r="K19" s="18"/>
      <c r="L19" s="18"/>
      <c r="M19" s="18"/>
      <c r="N19" s="18"/>
      <c r="O19" s="18"/>
      <c r="P19" s="18"/>
      <c r="Q19" s="18"/>
    </row>
    <row r="20" spans="11:17">
      <c r="K20" s="10" t="s">
        <v>224</v>
      </c>
      <c r="L20" s="10"/>
      <c r="M20" s="10"/>
      <c r="N20" s="10"/>
      <c r="O20" s="10"/>
      <c r="P20" s="10"/>
      <c r="Q20" s="10"/>
    </row>
    <row r="21" spans="11:17" ht="21.95" customHeight="1">
      <c r="K21" s="11" t="s">
        <v>216</v>
      </c>
      <c r="L21" s="11" t="s">
        <v>217</v>
      </c>
      <c r="M21" s="11" t="s">
        <v>218</v>
      </c>
      <c r="N21" s="11" t="s">
        <v>219</v>
      </c>
      <c r="O21" s="11" t="s">
        <v>220</v>
      </c>
      <c r="P21" s="11" t="s">
        <v>221</v>
      </c>
      <c r="Q21" s="11" t="s">
        <v>222</v>
      </c>
    </row>
    <row r="22" spans="11:17" ht="21.95" customHeight="1">
      <c r="K22" s="42">
        <v>1</v>
      </c>
      <c r="L22" s="42">
        <v>2</v>
      </c>
      <c r="M22" s="42">
        <v>3</v>
      </c>
      <c r="N22" s="42">
        <v>4</v>
      </c>
      <c r="O22" s="42">
        <v>5</v>
      </c>
      <c r="P22" s="42">
        <v>6</v>
      </c>
      <c r="Q22" s="42">
        <v>7</v>
      </c>
    </row>
    <row r="23" spans="11:17" ht="21.95" customHeight="1">
      <c r="K23" s="42">
        <v>8</v>
      </c>
      <c r="L23" s="42">
        <v>9</v>
      </c>
      <c r="M23" s="42">
        <v>10</v>
      </c>
      <c r="N23" s="42">
        <v>11</v>
      </c>
      <c r="O23" s="42">
        <v>12</v>
      </c>
      <c r="P23" s="42">
        <v>13</v>
      </c>
      <c r="Q23" s="42">
        <v>14</v>
      </c>
    </row>
    <row r="24" spans="11:17" ht="21.95" customHeight="1">
      <c r="K24" s="42">
        <v>15</v>
      </c>
      <c r="L24" s="42">
        <v>16</v>
      </c>
      <c r="M24" s="42">
        <v>17</v>
      </c>
      <c r="N24" s="42">
        <v>18</v>
      </c>
      <c r="O24" s="42">
        <v>19</v>
      </c>
      <c r="P24" s="42">
        <v>20</v>
      </c>
      <c r="Q24" s="42">
        <v>21</v>
      </c>
    </row>
    <row r="25" spans="11:17" ht="21.95" customHeight="1">
      <c r="K25" s="42">
        <v>22</v>
      </c>
      <c r="L25" s="42">
        <v>23</v>
      </c>
      <c r="M25" s="42">
        <v>24</v>
      </c>
      <c r="N25" s="42">
        <v>25</v>
      </c>
      <c r="O25" s="43">
        <v>26</v>
      </c>
      <c r="P25" s="43">
        <v>27</v>
      </c>
      <c r="Q25" s="43">
        <v>28</v>
      </c>
    </row>
    <row r="26" spans="11:17" ht="21.95" customHeight="1">
      <c r="K26" s="43">
        <v>29</v>
      </c>
      <c r="L26" s="43">
        <v>30</v>
      </c>
      <c r="M26" s="11"/>
      <c r="N26" s="11"/>
      <c r="O26" s="11"/>
      <c r="P26" s="11"/>
      <c r="Q26" s="11"/>
    </row>
    <row r="27" spans="11:17">
      <c r="K27" s="40"/>
      <c r="L27" s="40"/>
      <c r="M27" s="40"/>
      <c r="N27" s="40"/>
      <c r="O27" s="40"/>
      <c r="P27" s="40"/>
      <c r="Q27" s="40"/>
    </row>
    <row r="28" spans="11:17">
      <c r="K28" s="10" t="s">
        <v>225</v>
      </c>
      <c r="L28" s="10"/>
      <c r="M28" s="10"/>
      <c r="N28" s="10"/>
      <c r="O28" s="10"/>
      <c r="P28" s="10"/>
      <c r="Q28" s="10"/>
    </row>
    <row r="29" spans="11:17" ht="21.95" customHeight="1">
      <c r="K29" s="11" t="s">
        <v>216</v>
      </c>
      <c r="L29" s="11" t="s">
        <v>217</v>
      </c>
      <c r="M29" s="11" t="s">
        <v>218</v>
      </c>
      <c r="N29" s="11" t="s">
        <v>219</v>
      </c>
      <c r="O29" s="11" t="s">
        <v>220</v>
      </c>
      <c r="P29" s="11" t="s">
        <v>221</v>
      </c>
      <c r="Q29" s="11" t="s">
        <v>222</v>
      </c>
    </row>
    <row r="30" spans="11:17" ht="21.95" customHeight="1">
      <c r="K30" s="11"/>
      <c r="L30" s="11"/>
      <c r="M30" s="43">
        <v>1</v>
      </c>
      <c r="N30" s="43">
        <v>2</v>
      </c>
      <c r="O30" s="43">
        <v>3</v>
      </c>
      <c r="P30" s="43">
        <v>4</v>
      </c>
      <c r="Q30" s="43">
        <v>5</v>
      </c>
    </row>
    <row r="31" spans="11:17" ht="21.95" customHeight="1">
      <c r="K31" s="43">
        <v>6</v>
      </c>
      <c r="L31" s="43">
        <v>7</v>
      </c>
      <c r="M31" s="43">
        <v>8</v>
      </c>
      <c r="N31" s="43">
        <v>9</v>
      </c>
      <c r="O31" s="43">
        <v>10</v>
      </c>
      <c r="P31" s="43">
        <v>11</v>
      </c>
      <c r="Q31" s="43">
        <v>12</v>
      </c>
    </row>
    <row r="32" spans="11:17" ht="21.95" customHeight="1">
      <c r="K32" s="43">
        <v>13</v>
      </c>
      <c r="L32" s="43">
        <v>14</v>
      </c>
      <c r="M32" s="43">
        <v>15</v>
      </c>
      <c r="N32" s="43">
        <v>16</v>
      </c>
      <c r="O32" s="11">
        <v>17</v>
      </c>
      <c r="P32" s="11">
        <v>18</v>
      </c>
      <c r="Q32" s="11">
        <v>19</v>
      </c>
    </row>
    <row r="33" spans="11:17" ht="21.95" customHeight="1">
      <c r="K33" s="11">
        <v>20</v>
      </c>
      <c r="L33" s="11">
        <v>21</v>
      </c>
      <c r="M33" s="11">
        <v>22</v>
      </c>
      <c r="N33" s="11">
        <v>23</v>
      </c>
      <c r="O33" s="11">
        <v>24</v>
      </c>
      <c r="P33" s="11">
        <v>25</v>
      </c>
      <c r="Q33" s="11">
        <v>26</v>
      </c>
    </row>
    <row r="34" spans="11:17" ht="21.95" customHeight="1">
      <c r="K34" s="11">
        <v>27</v>
      </c>
      <c r="L34" s="11">
        <v>28</v>
      </c>
      <c r="M34" s="11">
        <v>29</v>
      </c>
      <c r="N34" s="11">
        <v>30</v>
      </c>
      <c r="O34" s="44">
        <v>31</v>
      </c>
      <c r="P34" s="11"/>
      <c r="Q34" s="11"/>
    </row>
    <row r="37" spans="11:17" ht="21.95" customHeight="1"/>
    <row r="38" spans="11:17" ht="21.95" customHeight="1"/>
    <row r="39" spans="11:17" ht="21.95" customHeight="1"/>
    <row r="40" spans="11:17" ht="21.95" customHeight="1"/>
    <row r="41" spans="11:17" ht="21.95" customHeight="1"/>
    <row r="42" spans="11:17" ht="21.95" customHeight="1"/>
  </sheetData>
  <mergeCells count="1">
    <mergeCell ref="K27:Q27"/>
  </mergeCells>
  <phoneticPr fontId="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サマリー</vt:lpstr>
      <vt:lpstr>タスク</vt:lpstr>
      <vt:lpstr>マイルストーン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大翔 佐々木</cp:lastModifiedBy>
  <dcterms:modified xsi:type="dcterms:W3CDTF">2026-10-12T07:20:32Z</dcterms:modified>
</cp:coreProperties>
</file>