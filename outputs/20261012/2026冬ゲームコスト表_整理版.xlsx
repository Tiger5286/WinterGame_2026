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9c33727e8e47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サマリー" sheetId="1" r:id="R8e8e6455b58944a1"/>
    <x:sheet xmlns:r="http://schemas.openxmlformats.org/officeDocument/2006/relationships" name="タスク" sheetId="2" r:id="R8edfddacae034f8e"/>
    <x:sheet xmlns:r="http://schemas.openxmlformats.org/officeDocument/2006/relationships" name="マイルストーン" sheetId="3" r:id="R306dd2736b614a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yyyy/mm/dd"/>
  </x:numFmts>
  <x:fonts count="9">
    <x:font>
      <x:sz val="11"/>
      <x:name val="Carlito"/>
    </x:font>
    <x:font>
      <x:sz val="10"/>
      <x:color rgb="FF243247"/>
      <x:name val="Arial"/>
    </x:font>
    <x:font>
      <x:b/>
      <x:sz val="15"/>
      <x:color rgb="FF16324F"/>
      <x:name val="Arial"/>
    </x:font>
    <x:font>
      <x:i/>
      <x:sz val="9"/>
      <x:color rgb="FF596579"/>
      <x:name val="Arial"/>
    </x:font>
    <x:font>
      <x:b/>
      <x:sz val="10"/>
      <x:color rgb="FFFFFFFF"/>
      <x:name val="Arial"/>
    </x:font>
    <x:font>
      <x:sz val="9"/>
      <x:color rgb="FF43546A"/>
      <x:name val="Arial"/>
    </x:font>
    <x:font>
      <x:b/>
      <x:sz val="16"/>
      <x:color rgb="FF16324F"/>
      <x:name val="Arial"/>
    </x:font>
    <x:font>
      <x:b/>
      <x:sz val="10"/>
      <x:color rgb="FF596579"/>
      <x:name val="Arial"/>
    </x:font>
    <x:font>
      <x:b/>
      <x:sz val="14"/>
      <x:color rgb="FF16324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56E"/>
      </x:patternFill>
    </x:fill>
    <x:fill>
      <x:patternFill patternType="solid">
        <x:fgColor rgb="FFFFF2CC"/>
      </x:patternFill>
    </x:fill>
    <x:fill>
      <x:patternFill patternType="solid">
        <x:fgColor rgb="FFE9EFF7"/>
      </x:patternFill>
    </x:fill>
    <x:fill>
      <x:patternFill patternType="solid">
        <x:fgColor rgb="FFEAF0F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9E1EA"/>
      </x:bottom>
      <x:diagonal/>
    </x:border>
    <x:border>
      <x:left/>
      <x:right/>
      <x:top style="thin">
        <x:color rgb="FFD9E1EA"/>
      </x:top>
      <x:bottom style="thin">
        <x:color rgb="FFD9E1EA"/>
      </x:bottom>
      <x:diagonal/>
    </x:border>
    <x:border>
      <x:left/>
      <x:right/>
      <x:top style="thin">
        <x:color rgb="FFD9E1EA"/>
      </x:top>
      <x:bottom/>
      <x:diagonal/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200" fontId="1" fillId="3" borderId="0" xfId="0" applyNumberFormat="1" applyFont="1" applyFill="1" applyBorder="1"/>
    <x:xf numFmtId="200" fontId="1" fillId="4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vertical="center"/>
    </x:xf>
    <x:xf numFmtId="200" fontId="8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200" fontId="8" fillId="5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horizontal="center" vertical="center" wrapText="0"/>
    </x:xf>
    <x:xf numFmtId="0" fontId="1" fillId="3" borderId="0" xfId="0" applyNumberFormat="1" applyFont="1" applyFill="1" applyBorder="1" applyAlignment="1">
      <x:alignment vertical="center" wrapText="0"/>
    </x:xf>
    <x:xf numFmtId="200" fontId="1" fillId="3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0"/>
    </x:xf>
    <x:xf numFmtId="0" fontId="1" fillId="0" borderId="2" xfId="0" applyNumberFormat="1" applyFont="1" applyFill="1" applyBorder="1" applyAlignment="1">
      <x:alignment vertical="center" wrapText="0"/>
    </x:xf>
    <x:xf numFmtId="0" fontId="1" fillId="0" borderId="3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">
    <x:dxf>
      <x:font>
        <x:color rgb="FF9C3B1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ce6213e3e4b1d" /><Relationship Type="http://schemas.openxmlformats.org/officeDocument/2006/relationships/theme" Target="/xl/theme/theme1.xml" Id="Re3ce02e9a83c43af" /><Relationship Type="http://schemas.openxmlformats.org/officeDocument/2006/relationships/sharedStrings" Target="/xl/sharedStrings.xml" Id="R13909722472f4379" /><Relationship Type="http://schemas.openxmlformats.org/officeDocument/2006/relationships/worksheet" Target="/xl/worksheets/sheet1.xml" Id="R8e8e6455b58944a1" /><Relationship Type="http://schemas.openxmlformats.org/officeDocument/2006/relationships/worksheet" Target="/xl/worksheets/sheet2.xml" Id="R8edfddacae034f8e" /><Relationship Type="http://schemas.openxmlformats.org/officeDocument/2006/relationships/worksheet" Target="/xl/worksheets/sheet3.xml" Id="R306dd2736b614a6e" /></Relationships>
</file>

<file path=xl/tables/table1.xml><?xml version="1.0" encoding="utf-8"?>
<x:table xmlns:x="http://schemas.openxmlformats.org/spreadsheetml/2006/main" id="1" name="TaskPlan" displayName="TaskPlan" ref="A4:O60" headerRowCount="1" totalsRowCount="0" totalsRowShown="0">
  <x:tableColumns count="15">
    <x:tableColumn id="1" name="ID"/>
    <x:tableColumn id="2" name="段階"/>
    <x:tableColumn id="3" name="カテゴリ"/>
    <x:tableColumn id="4" name="作業項目"/>
    <x:tableColumn id="5" name="優先度"/>
    <x:tableColumn id="6" name="進捗状況"/>
    <x:tableColumn id="7" name="元見積(h)"/>
    <x:tableColumn id="8" name="追加見積(h)"/>
    <x:tableColumn id="9" name="更新見積(h)"/>
    <x:tableColumn id="10" name="残見積(h)"/>
    <x:tableColumn id="11" name="人日"/>
    <x:tableColumn id="12" name="換算コスト"/>
    <x:tableColumn id="13" name="根拠（コード確認）"/>
    <x:tableColumn id="14" name="メモ"/>
    <x:tableColumn id="15" name="実コスト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fbe16736ab4fdb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2" hidden="0" customWidth="1"/>
    <x:col min="5" max="5" width="4" hidden="0" customWidth="1"/>
    <x:col min="6" max="6" width="16" hidden="0" customWidth="1"/>
    <x:col min="7" max="7" width="14" hidden="0" customWidth="1"/>
    <x:col min="8" max="8" width="14" hidden="0" customWidth="1"/>
    <x:col min="9" max="9" width="12" hidden="0" customWidth="1"/>
    <x:col min="10" max="10" width="4" hidden="0" customWidth="1"/>
    <x:col min="11" max="11" width="25" hidden="0" customWidth="1"/>
    <x:col min="12" max="12" width="68" hidden="0" customWidth="1"/>
    <x:col min="13" max="13" width="4" hidden="0" customWidth="1"/>
    <x:col min="14" max="14" width="4" hidden="0" customWidth="1"/>
  </x:cols>
  <x:sheetData>
    <x:row r="1">
      <x:c r="A1" s="40" t="str">
        <x:v>2026 冬ゲーム｜コスト・工数計画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1"/>
    </x:row>
    <x:row r="2">
      <x:c r="A2" s="41" t="str">
        <x:v>元コスト表を整理し、現在のソースコードから確認できた作業と追加見積を反映した計画版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1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1"/>
    </x:row>
    <x:row r="4" ht="24" customHeight="1">
      <x:c r="A4" s="43" t="str">
        <x:v>更新後見積（時間）</x:v>
      </x:c>
      <x:c r="B4" s="42"/>
      <x:c r="C4" s="42"/>
      <x:c r="D4" s="43" t="str">
        <x:v>残見積（時間）</x:v>
      </x:c>
      <x:c r="E4" s="42"/>
      <x:c r="F4" s="42"/>
      <x:c r="G4" s="43" t="str">
        <x:v>残見積（人日）</x:v>
      </x:c>
      <x:c r="H4" s="42"/>
      <x:c r="I4" s="42"/>
      <x:c r="J4" s="42"/>
      <x:c r="K4" s="43" t="str">
        <x:v>残コスト（換算）</x:v>
      </x:c>
      <x:c r="L4" s="42"/>
      <x:c r="M4" s="42"/>
      <x:c r="N4" s="42"/>
      <x:c r="O4" s="1"/>
    </x:row>
    <x:row r="5" ht="24" customHeight="1">
      <x:c r="A5" s="44" t="n">
        <x:f>SUM(タスク!I5:I60)</x:f>
        <x:v>317</x:v>
      </x:c>
      <x:c r="B5" s="45"/>
      <x:c r="C5" s="45"/>
      <x:c r="D5" s="44" t="n">
        <x:f>SUM(タスク!J5:J60)</x:f>
        <x:v>254</x:v>
      </x:c>
      <x:c r="E5" s="45"/>
      <x:c r="F5" s="45"/>
      <x:c r="G5" s="44" t="n">
        <x:f>D5/B9</x:f>
        <x:v>31.75</x:v>
      </x:c>
      <x:c r="H5" s="45"/>
      <x:c r="I5" s="45"/>
      <x:c r="J5" s="45"/>
      <x:c r="K5" s="44" t="n">
        <x:f>G5*B10</x:f>
        <x:v>254</x:v>
      </x:c>
      <x:c r="L5" s="42"/>
      <x:c r="M5" s="42"/>
      <x:c r="N5" s="42"/>
      <x:c r="O5" s="1"/>
    </x:row>
    <x:row r="6">
      <x:c r="A6" s="42"/>
      <x:c r="B6" s="42"/>
      <x:c r="C6" s="42"/>
      <x:c r="D6" s="42"/>
      <x:c r="E6" s="42"/>
      <x:c r="F6" s="42"/>
      <x:c r="G6" s="42"/>
      <x:c r="H6" s="42"/>
      <x:c r="I6" s="42"/>
      <x:c r="J6" s="42"/>
      <x:c r="K6" s="42"/>
      <x:c r="L6" s="42"/>
      <x:c r="M6" s="42"/>
      <x:c r="N6" s="42"/>
      <x:c r="O6" s="1"/>
    </x:row>
    <x:row r="7">
      <x:c r="A7" s="46" t="str">
        <x:v>前提</x:v>
      </x:c>
      <x:c r="B7" s="46" t="str">
        <x:v>値</x:v>
      </x:c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1"/>
    </x:row>
    <x:row r="8">
      <x:c r="A8" s="47" t="str">
        <x:v>見積単位</x:v>
      </x:c>
      <x:c r="B8" s="47" t="str">
        <x:v>時間</x:v>
      </x:c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1"/>
    </x:row>
    <x:row r="9">
      <x:c r="A9" s="47" t="str">
        <x:v>1人日の作業時間</x:v>
      </x:c>
      <x:c r="B9" s="47" t="n">
        <x:v>8</x:v>
      </x:c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1"/>
    </x:row>
    <x:row r="10">
      <x:c r="A10" s="47" t="str">
        <x:v>換算単価（コスト/人日）</x:v>
      </x:c>
      <x:c r="B10" s="48" t="n">
        <x:v>8</x:v>
      </x:c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1"/>
    </x:row>
    <x:row r="11">
      <x:c r="A11" s="47" t="str">
        <x:v>1時間あたりの換算コスト</x:v>
      </x:c>
      <x:c r="B11" s="48" t="n">
        <x:f>B10/B9</x:f>
        <x:v>1</x:v>
      </x:c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1"/>
    </x:row>
    <x:row r="12">
      <x:c r="A12" s="42" t="str">
        <x:v>元表の見積合計（時間）</x:v>
      </x:c>
      <x:c r="B12" s="42" t="n">
        <x:f>SUM(タスク!G5:G60)</x:f>
        <x:v>212</x:v>
      </x:c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1"/>
    </x:row>
    <x:row r="13" ht="20" customHeight="1">
      <x:c r="A13" s="46" t="str">
        <x:v>段階</x:v>
      </x:c>
      <x:c r="B13" s="46" t="str">
        <x:v>見積(h)</x:v>
      </x:c>
      <x:c r="C13" s="46" t="str">
        <x:v>残見積(h)</x:v>
      </x:c>
      <x:c r="D13" s="46" t="str">
        <x:v>タスク数</x:v>
      </x:c>
      <x:c r="E13" s="42"/>
      <x:c r="F13" s="46" t="str">
        <x:v>カテゴリ</x:v>
      </x:c>
      <x:c r="G13" s="46" t="str">
        <x:v>見積(h)</x:v>
      </x:c>
      <x:c r="H13" s="46" t="str">
        <x:v>残見積(h)</x:v>
      </x:c>
      <x:c r="I13" s="46" t="str">
        <x:v>タスク数</x:v>
      </x:c>
      <x:c r="J13" s="42"/>
      <x:c r="K13" s="46" t="str">
        <x:v>進捗の見方</x:v>
      </x:c>
      <x:c r="L13" s="46" t="str">
        <x:v>説明</x:v>
      </x:c>
      <x:c r="M13" s="42"/>
      <x:c r="N13" s="42"/>
      <x:c r="O13" s="1"/>
    </x:row>
    <x:row r="14" ht="20" customHeight="1">
      <x:c r="A14" s="49" t="str">
        <x:v>プロト</x:v>
      </x:c>
      <x:c r="B14" s="49" t="n">
        <x:f>SUMIF(タスク!$B$5:$B$60,A14,タスク!$I$5:$I$60)</x:f>
        <x:v>177</x:v>
      </x:c>
      <x:c r="C14" s="49" t="n">
        <x:f>SUMIF(タスク!$B$5:$B$60,A14,タスク!$J$5:$J$60)</x:f>
        <x:v>118</x:v>
      </x:c>
      <x:c r="D14" s="49" t="n">
        <x:f>COUNTIF(タスク!$B$5:$B$60,A14)</x:f>
        <x:v>31</x:v>
      </x:c>
      <x:c r="E14" s="42"/>
      <x:c r="F14" s="49" t="str">
        <x:v>当たり判定</x:v>
      </x:c>
      <x:c r="G14" s="49" t="n">
        <x:f>SUMIF(タスク!$C$5:$C$60,F14,タスク!$I$5:$I$60)</x:f>
        <x:v>27</x:v>
      </x:c>
      <x:c r="H14" s="49" t="n">
        <x:f>SUMIF(タスク!$C$5:$C$60,F14,タスク!$J$5:$J$60)</x:f>
        <x:v>23.5</x:v>
      </x:c>
      <x:c r="I14" s="49" t="n">
        <x:f>COUNTIF(タスク!$C$5:$C$60,F14)</x:f>
        <x:v>6</x:v>
      </x:c>
      <x:c r="J14" s="42"/>
      <x:c r="K14" s="42" t="str">
        <x:v>コードあり・要確認</x:v>
      </x:c>
      <x:c r="L14" s="42" t="str">
        <x:v>ソースで実装箇所を確認。起動・プレイ検証は未実施</x:v>
      </x:c>
      <x:c r="M14" s="42"/>
      <x:c r="N14" s="42"/>
      <x:c r="O14" s="1"/>
    </x:row>
    <x:row r="15" ht="20" customHeight="1">
      <x:c r="A15" s="50" t="str">
        <x:v>アルファ</x:v>
      </x:c>
      <x:c r="B15" s="50" t="n">
        <x:f>SUMIF(タスク!$B$5:$B$60,A15,タスク!$I$5:$I$60)</x:f>
        <x:v>107</x:v>
      </x:c>
      <x:c r="C15" s="50" t="n">
        <x:f>SUMIF(タスク!$B$5:$B$60,A15,タスク!$J$5:$J$60)</x:f>
        <x:v>103</x:v>
      </x:c>
      <x:c r="D15" s="50" t="n">
        <x:f>COUNTIF(タスク!$B$5:$B$60,A15)</x:f>
        <x:v>20</x:v>
      </x:c>
      <x:c r="E15" s="42"/>
      <x:c r="F15" s="50" t="str">
        <x:v>プレイヤー</x:v>
      </x:c>
      <x:c r="G15" s="50" t="n">
        <x:f>SUMIF(タスク!$C$5:$C$60,F15,タスク!$I$5:$I$60)</x:f>
        <x:v>30</x:v>
      </x:c>
      <x:c r="H15" s="50" t="n">
        <x:f>SUMIF(タスク!$C$5:$C$60,F15,タスク!$J$5:$J$60)</x:f>
        <x:v>18.5</x:v>
      </x:c>
      <x:c r="I15" s="50" t="n">
        <x:f>COUNTIF(タスク!$C$5:$C$60,F15)</x:f>
        <x:v>7</x:v>
      </x:c>
      <x:c r="J15" s="42"/>
      <x:c r="K15" s="42" t="str">
        <x:v>一部実装</x:v>
      </x:c>
      <x:c r="L15" s="42" t="str">
        <x:v>基盤は確認したが統合・調整・仕様不足がある</x:v>
      </x:c>
      <x:c r="M15" s="42"/>
      <x:c r="N15" s="42"/>
      <x:c r="O15" s="1"/>
    </x:row>
    <x:row r="16" ht="20" customHeight="1">
      <x:c r="A16" s="50" t="str">
        <x:v>ベータ</x:v>
      </x:c>
      <x:c r="B16" s="50" t="n">
        <x:f>SUMIF(タスク!$B$5:$B$60,A16,タスク!$I$5:$I$60)</x:f>
        <x:v>25</x:v>
      </x:c>
      <x:c r="C16" s="50" t="n">
        <x:f>SUMIF(タスク!$B$5:$B$60,A16,タスク!$J$5:$J$60)</x:f>
        <x:v>25</x:v>
      </x:c>
      <x:c r="D16" s="50" t="n">
        <x:f>COUNTIF(タスク!$B$5:$B$60,A16)</x:f>
        <x:v>4</x:v>
      </x:c>
      <x:c r="E16" s="42"/>
      <x:c r="F16" s="50" t="str">
        <x:v>カメラ</x:v>
      </x:c>
      <x:c r="G16" s="50" t="n">
        <x:f>SUMIF(タスク!$C$5:$C$60,F16,タスク!$I$5:$I$60)</x:f>
        <x:v>14</x:v>
      </x:c>
      <x:c r="H16" s="50" t="n">
        <x:f>SUMIF(タスク!$C$5:$C$60,F16,タスク!$J$5:$J$60)</x:f>
        <x:v>5</x:v>
      </x:c>
      <x:c r="I16" s="50" t="n">
        <x:f>COUNTIF(タスク!$C$5:$C$60,F16)</x:f>
        <x:v>2</x:v>
      </x:c>
      <x:c r="J16" s="42"/>
      <x:c r="K16" s="42" t="str">
        <x:v>未着手</x:v>
      </x:c>
      <x:c r="L16" s="42" t="str">
        <x:v>元表の項目。現コード一覧で実装を確認できず</x:v>
      </x:c>
      <x:c r="M16" s="42"/>
      <x:c r="N16" s="42"/>
      <x:c r="O16" s="1"/>
    </x:row>
    <x:row r="17" ht="20" customHeight="1">
      <x:c r="A17" s="51" t="str">
        <x:v>マスター</x:v>
      </x:c>
      <x:c r="B17" s="51" t="n">
        <x:f>SUMIF(タスク!$B$5:$B$60,A17,タスク!$I$5:$I$60)</x:f>
        <x:v>8</x:v>
      </x:c>
      <x:c r="C17" s="51" t="n">
        <x:f>SUMIF(タスク!$B$5:$B$60,A17,タスク!$J$5:$J$60)</x:f>
        <x:v>8</x:v>
      </x:c>
      <x:c r="D17" s="51" t="n">
        <x:f>COUNTIF(タスク!$B$5:$B$60,A17)</x:f>
        <x:v>1</x:v>
      </x:c>
      <x:c r="E17" s="42"/>
      <x:c r="F17" s="50" t="str">
        <x:v>ハッキング</x:v>
      </x:c>
      <x:c r="G17" s="50" t="n">
        <x:f>SUMIF(タスク!$C$5:$C$60,F17,タスク!$I$5:$I$60)</x:f>
        <x:v>35</x:v>
      </x:c>
      <x:c r="H17" s="50" t="n">
        <x:f>SUMIF(タスク!$C$5:$C$60,F17,タスク!$J$5:$J$60)</x:f>
        <x:v>27</x:v>
      </x:c>
      <x:c r="I17" s="50" t="n">
        <x:f>COUNTIF(タスク!$C$5:$C$60,F17)</x:f>
        <x:v>5</x:v>
      </x:c>
      <x:c r="J17" s="42"/>
      <x:c r="K17" s="42" t="str">
        <x:v>計画追加</x:v>
      </x:c>
      <x:c r="L17" s="42" t="str">
        <x:v>元表に分かれていなかった統合・検証・仕上げ作業</x:v>
      </x:c>
      <x:c r="M17" s="42"/>
      <x:c r="N17" s="42"/>
      <x:c r="O17" s="1"/>
    </x:row>
    <x:row r="18" ht="20" customHeight="1">
      <x:c r="A18" s="42"/>
      <x:c r="B18" s="42"/>
      <x:c r="C18" s="42"/>
      <x:c r="D18" s="42"/>
      <x:c r="E18" s="42"/>
      <x:c r="F18" s="50" t="str">
        <x:v>敵</x:v>
      </x:c>
      <x:c r="G18" s="50" t="n">
        <x:f>SUMIF(タスク!$C$5:$C$60,F18,タスク!$I$5:$I$60)</x:f>
        <x:v>53</x:v>
      </x:c>
      <x:c r="H18" s="50" t="n">
        <x:f>SUMIF(タスク!$C$5:$C$60,F18,タスク!$J$5:$J$60)</x:f>
        <x:v>47</x:v>
      </x:c>
      <x:c r="I18" s="50" t="n">
        <x:f>COUNTIF(タスク!$C$5:$C$60,F18)</x:f>
        <x:v>9</x:v>
      </x:c>
      <x:c r="J18" s="42"/>
      <x:c r="K18" s="42"/>
      <x:c r="L18" s="42"/>
      <x:c r="M18" s="42"/>
      <x:c r="N18" s="42"/>
      <x:c r="O18" s="1"/>
    </x:row>
    <x:row r="19" ht="20" customHeight="1">
      <x:c r="A19" s="42"/>
      <x:c r="B19" s="42"/>
      <x:c r="C19" s="42"/>
      <x:c r="D19" s="42"/>
      <x:c r="E19" s="42"/>
      <x:c r="F19" s="50" t="str">
        <x:v>ステージ</x:v>
      </x:c>
      <x:c r="G19" s="50" t="n">
        <x:f>SUMIF(タスク!$C$5:$C$60,F19,タスク!$I$5:$I$60)</x:f>
        <x:v>38</x:v>
      </x:c>
      <x:c r="H19" s="50" t="n">
        <x:f>SUMIF(タスク!$C$5:$C$60,F19,タスク!$J$5:$J$60)</x:f>
        <x:v>35</x:v>
      </x:c>
      <x:c r="I19" s="50" t="n">
        <x:f>COUNTIF(タスク!$C$5:$C$60,F19)</x:f>
        <x:v>4</x:v>
      </x:c>
      <x:c r="J19" s="42"/>
      <x:c r="K19" s="42" t="str">
        <x:v>注記</x:v>
      </x:c>
      <x:c r="L19" s="42"/>
      <x:c r="M19" s="42"/>
      <x:c r="N19" s="42"/>
      <x:c r="O19" s="1"/>
    </x:row>
    <x:row r="20" ht="20" customHeight="1">
      <x:c r="A20" s="42"/>
      <x:c r="B20" s="42"/>
      <x:c r="C20" s="42"/>
      <x:c r="D20" s="42"/>
      <x:c r="E20" s="42"/>
      <x:c r="F20" s="50" t="str">
        <x:v>システム</x:v>
      </x:c>
      <x:c r="G20" s="50" t="n">
        <x:f>SUMIF(タスク!$C$5:$C$60,F20,タスク!$I$5:$I$60)</x:f>
        <x:v>20</x:v>
      </x:c>
      <x:c r="H20" s="50" t="n">
        <x:f>SUMIF(タスク!$C$5:$C$60,F20,タスク!$J$5:$J$60)</x:f>
        <x:v>7</x:v>
      </x:c>
      <x:c r="I20" s="50" t="n">
        <x:f>COUNTIF(タスク!$C$5:$C$60,F20)</x:f>
        <x:v>2</x:v>
      </x:c>
      <x:c r="J20" s="42"/>
      <x:c r="K20" s="42" t="str">
        <x:v>見積</x:v>
      </x:c>
      <x:c r="L20" s="42" t="str">
        <x:v>元表212h＋追加105h。残見積はコード目視の暫定値。</x:v>
      </x:c>
      <x:c r="M20" s="42"/>
      <x:c r="N20" s="42"/>
      <x:c r="O20" s="1"/>
    </x:row>
    <x:row r="21" ht="20" customHeight="1">
      <x:c r="A21" s="42"/>
      <x:c r="B21" s="42"/>
      <x:c r="C21" s="42"/>
      <x:c r="D21" s="42"/>
      <x:c r="E21" s="42"/>
      <x:c r="F21" s="50" t="str">
        <x:v>素材</x:v>
      </x:c>
      <x:c r="G21" s="50" t="n">
        <x:f>SUMIF(タスク!$C$5:$C$60,F21,タスク!$I$5:$I$60)</x:f>
        <x:v>20</x:v>
      </x:c>
      <x:c r="H21" s="50" t="n">
        <x:f>SUMIF(タスク!$C$5:$C$60,F21,タスク!$J$5:$J$60)</x:f>
        <x:v>15</x:v>
      </x:c>
      <x:c r="I21" s="50" t="n">
        <x:f>COUNTIF(タスク!$C$5:$C$60,F21)</x:f>
        <x:v>4</x:v>
      </x:c>
      <x:c r="J21" s="42"/>
      <x:c r="K21" s="42" t="str">
        <x:v>実績</x:v>
      </x:c>
      <x:c r="L21" s="42" t="str">
        <x:v>動作検証は未反映。実コストはタスクシートへ入力。</x:v>
      </x:c>
      <x:c r="M21" s="42"/>
      <x:c r="N21" s="42"/>
      <x:c r="O21" s="1"/>
    </x:row>
    <x:row r="22" ht="20" customHeight="1">
      <x:c r="A22" s="42"/>
      <x:c r="B22" s="42"/>
      <x:c r="C22" s="42"/>
      <x:c r="D22" s="42"/>
      <x:c r="E22" s="42"/>
      <x:c r="F22" s="50" t="str">
        <x:v>演出</x:v>
      </x:c>
      <x:c r="G22" s="50" t="n">
        <x:f>SUMIF(タスク!$C$5:$C$60,F22,タスク!$I$5:$I$60)</x:f>
        <x:v>18</x:v>
      </x:c>
      <x:c r="H22" s="50" t="n">
        <x:f>SUMIF(タスク!$C$5:$C$60,F22,タスク!$J$5:$J$60)</x:f>
        <x:v>18</x:v>
      </x:c>
      <x:c r="I22" s="50" t="n">
        <x:f>COUNTIF(タスク!$C$5:$C$60,F22)</x:f>
        <x:v>5</x:v>
      </x:c>
      <x:c r="J22" s="42"/>
      <x:c r="K22" s="42" t="str">
        <x:v>実コスト合計</x:v>
      </x:c>
      <x:c r="L22" s="42" t="str">
        <x:f>IF(COUNT(タスク!O5:O60)=0,"",SUM(タスク!O5:O60))</x:f>
      </x:c>
      <x:c r="M22" s="42"/>
      <x:c r="N22" s="42"/>
      <x:c r="O22" s="1"/>
    </x:row>
    <x:row r="23" ht="20" customHeight="1">
      <x:c r="A23" s="42"/>
      <x:c r="B23" s="42"/>
      <x:c r="C23" s="42"/>
      <x:c r="D23" s="42"/>
      <x:c r="E23" s="42"/>
      <x:c r="F23" s="50" t="str">
        <x:v>シーン</x:v>
      </x:c>
      <x:c r="G23" s="50" t="n">
        <x:f>SUMIF(タスク!$C$5:$C$60,F23,タスク!$I$5:$I$60)</x:f>
        <x:v>28</x:v>
      </x:c>
      <x:c r="H23" s="50" t="n">
        <x:f>SUMIF(タスク!$C$5:$C$60,F23,タスク!$J$5:$J$60)</x:f>
        <x:v>24</x:v>
      </x:c>
      <x:c r="I23" s="50" t="n">
        <x:f>COUNTIF(タスク!$C$5:$C$60,F23)</x:f>
        <x:v>8</x:v>
      </x:c>
      <x:c r="J23" s="42"/>
      <x:c r="K23" s="42"/>
      <x:c r="L23" s="42"/>
      <x:c r="M23" s="42"/>
      <x:c r="N23" s="42"/>
      <x:c r="O23" s="1"/>
    </x:row>
    <x:row r="24" ht="20" customHeight="1">
      <x:c r="A24" s="42"/>
      <x:c r="B24" s="42"/>
      <x:c r="C24" s="42"/>
      <x:c r="D24" s="42"/>
      <x:c r="E24" s="42"/>
      <x:c r="F24" s="50" t="str">
        <x:v>射撃</x:v>
      </x:c>
      <x:c r="G24" s="50" t="n">
        <x:f>SUMIF(タスク!$C$5:$C$60,F24,タスク!$I$5:$I$60)</x:f>
        <x:v>8</x:v>
      </x:c>
      <x:c r="H24" s="50" t="n">
        <x:f>SUMIF(タスク!$C$5:$C$60,F24,タスク!$J$5:$J$60)</x:f>
        <x:v>8</x:v>
      </x:c>
      <x:c r="I24" s="50" t="n">
        <x:f>COUNTIF(タスク!$C$5:$C$60,F24)</x:f>
        <x:v>1</x:v>
      </x:c>
      <x:c r="J24" s="42"/>
      <x:c r="K24" s="42"/>
      <x:c r="L24" s="42"/>
      <x:c r="M24" s="42"/>
      <x:c r="N24" s="42"/>
      <x:c r="O24" s="1"/>
    </x:row>
    <x:row r="25" ht="20" customHeight="1">
      <x:c r="A25" s="42"/>
      <x:c r="B25" s="42"/>
      <x:c r="C25" s="42"/>
      <x:c r="D25" s="42"/>
      <x:c r="E25" s="42"/>
      <x:c r="F25" s="50" t="str">
        <x:v>UI</x:v>
      </x:c>
      <x:c r="G25" s="50" t="n">
        <x:f>SUMIF(タスク!$C$5:$C$60,F25,タスク!$I$5:$I$60)</x:f>
        <x:v>8</x:v>
      </x:c>
      <x:c r="H25" s="50" t="n">
        <x:f>SUMIF(タスク!$C$5:$C$60,F25,タスク!$J$5:$J$60)</x:f>
        <x:v>8</x:v>
      </x:c>
      <x:c r="I25" s="50" t="n">
        <x:f>COUNTIF(タスク!$C$5:$C$60,F25)</x:f>
        <x:v>1</x:v>
      </x:c>
      <x:c r="J25" s="42"/>
      <x:c r="K25" s="42"/>
      <x:c r="L25" s="42"/>
      <x:c r="M25" s="42"/>
      <x:c r="N25" s="42"/>
      <x:c r="O25" s="1"/>
    </x:row>
    <x:row r="26" ht="20" customHeight="1">
      <x:c r="A26" s="1"/>
      <x:c r="B26" s="1"/>
      <x:c r="C26" s="1"/>
      <x:c r="D26" s="1"/>
      <x:c r="E26" s="1"/>
      <x:c r="F26" s="32" t="str">
        <x:v>テスト</x:v>
      </x:c>
      <x:c r="G26" s="32" t="n">
        <x:f>SUMIF(タスク!$C$5:$C$60,F26,タスク!$I$5:$I$60)</x:f>
        <x:v>10</x:v>
      </x:c>
      <x:c r="H26" s="32" t="n">
        <x:f>SUMIF(タスク!$C$5:$C$60,F26,タスク!$J$5:$J$60)</x:f>
        <x:v>10</x:v>
      </x:c>
      <x:c r="I26" s="32" t="n">
        <x:f>COUNTIF(タスク!$C$5:$C$60,F26)</x:f>
        <x:v>1</x:v>
      </x:c>
      <x:c r="J26" s="1"/>
      <x:c r="K26" s="1"/>
      <x:c r="L26" s="1"/>
      <x:c r="M26" s="1"/>
      <x:c r="N26" s="1"/>
      <x:c r="O26" s="1"/>
    </x:row>
    <x:row r="27" ht="20" customHeight="1">
      <x:c r="A27" s="1"/>
      <x:c r="B27" s="1"/>
      <x:c r="C27" s="1"/>
      <x:c r="D27" s="1"/>
      <x:c r="E27" s="1"/>
      <x:c r="F27" s="33" t="str">
        <x:v>仕上げ</x:v>
      </x:c>
      <x:c r="G27" s="33" t="n">
        <x:f>SUMIF(タスク!$C$5:$C$60,F27,タスク!$I$5:$I$60)</x:f>
        <x:v>8</x:v>
      </x:c>
      <x:c r="H27" s="33" t="n">
        <x:f>SUMIF(タスク!$C$5:$C$60,F27,タスク!$J$5:$J$60)</x:f>
        <x:v>8</x:v>
      </x:c>
      <x:c r="I27" s="33" t="n">
        <x:f>COUNTIF(タスク!$C$5:$C$60,F27)</x:f>
        <x:v>1</x:v>
      </x:c>
      <x:c r="J27" s="1"/>
      <x:c r="K27" s="1"/>
      <x:c r="L27" s="1"/>
      <x:c r="M27" s="1"/>
      <x:c r="N27" s="1"/>
      <x:c r="O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9" hidden="0" customWidth="1"/>
    <x:col min="2" max="2" width="12" hidden="0" customWidth="1"/>
    <x:col min="3" max="3" width="14" hidden="0" customWidth="1"/>
    <x:col min="4" max="4" width="34" hidden="0" customWidth="1"/>
    <x:col min="5" max="5" width="10" hidden="0" customWidth="1"/>
    <x:col min="6" max="6" width="19" hidden="0" customWidth="1"/>
    <x:col min="7" max="7" width="12" hidden="0" customWidth="1"/>
    <x:col min="8" max="8" width="12" hidden="0" customWidth="1"/>
    <x:col min="9" max="9" width="13" hidden="0" customWidth="1"/>
    <x:col min="10" max="10" width="12" hidden="0" customWidth="1"/>
    <x:col min="11" max="11" width="10" hidden="0" customWidth="1"/>
    <x:col min="12" max="12" width="13" hidden="0" customWidth="1"/>
    <x:col min="13" max="13" width="60" hidden="0" customWidth="1"/>
    <x:col min="14" max="14" width="38" hidden="0" customWidth="1"/>
    <x:col min="15" max="15" width="14" hidden="0" customWidth="1"/>
  </x:cols>
  <x:sheetData>
    <x:row r="1">
      <x:c r="A1" s="13" t="str">
        <x:v>作業一覧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>
      <x:c r="A2" s="14" t="str">
        <x:v>元見積は旧表の「1コスト＝1時間」を引継ぎ。追加分はコード上で分離されていなかった作業。残見積はコード目視確認に基づく暫定値で、実績ではありません。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</x:row>
    <x:row r="4">
      <x:c r="A4" s="8" t="str">
        <x:v>ID</x:v>
      </x:c>
      <x:c r="B4" s="8" t="str">
        <x:v>段階</x:v>
      </x:c>
      <x:c r="C4" s="8" t="str">
        <x:v>カテゴリ</x:v>
      </x:c>
      <x:c r="D4" s="8" t="str">
        <x:v>作業項目</x:v>
      </x:c>
      <x:c r="E4" s="8" t="str">
        <x:v>優先度</x:v>
      </x:c>
      <x:c r="F4" s="8" t="str">
        <x:v>進捗状況</x:v>
      </x:c>
      <x:c r="G4" s="8" t="str">
        <x:v>元見積(h)</x:v>
      </x:c>
      <x:c r="H4" s="8" t="str">
        <x:v>追加見積(h)</x:v>
      </x:c>
      <x:c r="I4" s="8" t="str">
        <x:v>更新見積(h)</x:v>
      </x:c>
      <x:c r="J4" s="8" t="str">
        <x:v>残見積(h)</x:v>
      </x:c>
      <x:c r="K4" s="8" t="str">
        <x:v>人日</x:v>
      </x:c>
      <x:c r="L4" s="8" t="str">
        <x:v>換算コスト</x:v>
      </x:c>
      <x:c r="M4" s="8" t="str">
        <x:v>根拠（コード確認）</x:v>
      </x:c>
      <x:c r="N4" s="8" t="str">
        <x:v>メモ</x:v>
      </x:c>
      <x:c r="O4" s="8" t="str">
        <x:v>実コスト</x:v>
      </x:c>
    </x:row>
    <x:row r="5">
      <x:c r="A5" s="15" t="str">
        <x:v>T001</x:v>
      </x:c>
      <x:c r="B5" s="15" t="str">
        <x:v>プロト</x:v>
      </x:c>
      <x:c r="C5" s="15" t="str">
        <x:v>当たり判定</x:v>
      </x:c>
      <x:c r="D5" s="15" t="str">
        <x:v>CollisionManagerの管理・接触結果整理</x:v>
      </x:c>
      <x:c r="E5" s="15" t="str">
        <x:v>S</x:v>
      </x:c>
      <x:c r="F5" s="15" t="str">
        <x:v>一部実装</x:v>
      </x:c>
      <x:c r="G5" s="16" t="n">
        <x:v>3</x:v>
      </x:c>
      <x:c r="H5" s="16" t="n">
        <x:v>2</x:v>
      </x:c>
      <x:c r="I5" s="17" t="n">
        <x:f>G5+H5</x:f>
        <x:v>5</x:v>
      </x:c>
      <x:c r="J5" s="16" t="n">
        <x:v>4</x:v>
      </x:c>
      <x:c r="K5" s="17" t="n">
        <x:f>J5/サマリー!$B$9</x:f>
        <x:v>0.5</x:v>
      </x:c>
      <x:c r="L5" s="17" t="n">
        <x:f>K5*サマリー!$B$10</x:f>
        <x:v>4</x:v>
      </x:c>
      <x:c r="M5" s="18" t="str">
        <x:v>CollisionManager.cpp/hあり。判定結果と押し戻しの整理余地</x:v>
      </x:c>
      <x:c r="N5" s="18" t="str"/>
      <x:c r="O5" s="16"/>
    </x:row>
    <x:row r="6">
      <x:c r="A6" s="15" t="str">
        <x:v>T002</x:v>
      </x:c>
      <x:c r="B6" s="15" t="str">
        <x:v>プロト</x:v>
      </x:c>
      <x:c r="C6" s="15" t="str">
        <x:v>当たり判定</x:v>
      </x:c>
      <x:c r="D6" s="15" t="str">
        <x:v>球コライダー判定</x:v>
      </x:c>
      <x:c r="E6" s="15" t="str">
        <x:v>S</x:v>
      </x:c>
      <x:c r="F6" s="15" t="str">
        <x:v>コードあり・要確認</x:v>
      </x:c>
      <x:c r="G6" s="16" t="n">
        <x:v>1</x:v>
      </x:c>
      <x:c r="H6" s="16" t="n">
        <x:v>0</x:v>
      </x:c>
      <x:c r="I6" s="17" t="n">
        <x:f>G6+H6</x:f>
        <x:v>1</x:v>
      </x:c>
      <x:c r="J6" s="16" t="n">
        <x:v>0.5</x:v>
      </x:c>
      <x:c r="K6" s="17" t="n">
        <x:f>J6/サマリー!$B$9</x:f>
        <x:v>0.0625</x:v>
      </x:c>
      <x:c r="L6" s="17" t="n">
        <x:f>K6*サマリー!$B$10</x:f>
        <x:v>0.5</x:v>
      </x:c>
      <x:c r="M6" s="18" t="str">
        <x:v>SphereCollider.cpp/hあり</x:v>
      </x:c>
      <x:c r="N6" s="18" t="str"/>
      <x:c r="O6" s="16"/>
    </x:row>
    <x:row r="7">
      <x:c r="A7" s="15" t="str">
        <x:v>T003</x:v>
      </x:c>
      <x:c r="B7" s="15" t="str">
        <x:v>プロト</x:v>
      </x:c>
      <x:c r="C7" s="15" t="str">
        <x:v>当たり判定</x:v>
      </x:c>
      <x:c r="D7" s="15" t="str">
        <x:v>カプセルコライダー判定</x:v>
      </x:c>
      <x:c r="E7" s="15" t="str">
        <x:v>S</x:v>
      </x:c>
      <x:c r="F7" s="15" t="str">
        <x:v>コードあり・要確認</x:v>
      </x:c>
      <x:c r="G7" s="16" t="n">
        <x:v>2</x:v>
      </x:c>
      <x:c r="H7" s="16" t="n">
        <x:v>0</x:v>
      </x:c>
      <x:c r="I7" s="17" t="n">
        <x:f>G7+H7</x:f>
        <x:v>2</x:v>
      </x:c>
      <x:c r="J7" s="16" t="n">
        <x:v>1</x:v>
      </x:c>
      <x:c r="K7" s="17" t="n">
        <x:f>J7/サマリー!$B$9</x:f>
        <x:v>0.125</x:v>
      </x:c>
      <x:c r="L7" s="17" t="n">
        <x:f>K7*サマリー!$B$10</x:f>
        <x:v>1</x:v>
      </x:c>
      <x:c r="M7" s="18" t="str">
        <x:v>CapsuleCollider.cpp/h、カプセル判定関数あり</x:v>
      </x:c>
      <x:c r="N7" s="18" t="str"/>
      <x:c r="O7" s="16"/>
    </x:row>
    <x:row r="8">
      <x:c r="A8" s="15" t="str">
        <x:v>T004</x:v>
      </x:c>
      <x:c r="B8" s="15" t="str">
        <x:v>プロト</x:v>
      </x:c>
      <x:c r="C8" s="15" t="str">
        <x:v>当たり判定</x:v>
      </x:c>
      <x:c r="D8" s="15" t="str">
        <x:v>ポリゴンコライダー判定</x:v>
      </x:c>
      <x:c r="E8" s="15" t="str">
        <x:v>S</x:v>
      </x:c>
      <x:c r="F8" s="15" t="str">
        <x:v>一部実装</x:v>
      </x:c>
      <x:c r="G8" s="16" t="n">
        <x:v>3</x:v>
      </x:c>
      <x:c r="H8" s="16" t="n">
        <x:v>2</x:v>
      </x:c>
      <x:c r="I8" s="17" t="n">
        <x:f>G8+H8</x:f>
        <x:v>5</x:v>
      </x:c>
      <x:c r="J8" s="16" t="n">
        <x:v>4</x:v>
      </x:c>
      <x:c r="K8" s="17" t="n">
        <x:f>J8/サマリー!$B$9</x:f>
        <x:v>0.5</x:v>
      </x:c>
      <x:c r="L8" s="17" t="n">
        <x:f>K8*サマリー!$B$10</x:f>
        <x:v>4</x:v>
      </x:c>
      <x:c r="M8" s="18" t="str">
        <x:v>PolygonCollider.cpp/hあり。押し戻し・床壁分類との統合確認</x:v>
      </x:c>
      <x:c r="N8" s="18" t="str"/>
      <x:c r="O8" s="16"/>
    </x:row>
    <x:row r="9">
      <x:c r="A9" s="15" t="str">
        <x:v>T005</x:v>
      </x:c>
      <x:c r="B9" s="15" t="str">
        <x:v>プロト</x:v>
      </x:c>
      <x:c r="C9" s="15" t="str">
        <x:v>プレイヤー</x:v>
      </x:c>
      <x:c r="D9" s="15" t="str">
        <x:v>移動</x:v>
      </x:c>
      <x:c r="E9" s="15" t="str">
        <x:v>S</x:v>
      </x:c>
      <x:c r="F9" s="15" t="str">
        <x:v>コードあり・要確認</x:v>
      </x:c>
      <x:c r="G9" s="16" t="n">
        <x:v>2</x:v>
      </x:c>
      <x:c r="H9" s="16" t="n">
        <x:v>0</x:v>
      </x:c>
      <x:c r="I9" s="17" t="n">
        <x:f>G9+H9</x:f>
        <x:v>2</x:v>
      </x:c>
      <x:c r="J9" s="16" t="n">
        <x:v>1</x:v>
      </x:c>
      <x:c r="K9" s="17" t="n">
        <x:f>J9/サマリー!$B$9</x:f>
        <x:v>0.125</x:v>
      </x:c>
      <x:c r="L9" s="17" t="n">
        <x:f>K9*サマリー!$B$10</x:f>
        <x:v>1</x:v>
      </x:c>
      <x:c r="M9" s="18" t="str">
        <x:v>Playerと移動Stateあり</x:v>
      </x:c>
      <x:c r="N9" s="18" t="str"/>
      <x:c r="O9" s="16"/>
    </x:row>
    <x:row r="10">
      <x:c r="A10" s="15" t="str">
        <x:v>T006</x:v>
      </x:c>
      <x:c r="B10" s="15" t="str">
        <x:v>プロト</x:v>
      </x:c>
      <x:c r="C10" s="15" t="str">
        <x:v>プレイヤー</x:v>
      </x:c>
      <x:c r="D10" s="15" t="str">
        <x:v>ジャンプ</x:v>
      </x:c>
      <x:c r="E10" s="15" t="str">
        <x:v>S</x:v>
      </x:c>
      <x:c r="F10" s="15" t="str">
        <x:v>コードあり・要確認</x:v>
      </x:c>
      <x:c r="G10" s="16" t="n">
        <x:v>1</x:v>
      </x:c>
      <x:c r="H10" s="16" t="n">
        <x:v>0</x:v>
      </x:c>
      <x:c r="I10" s="17" t="n">
        <x:f>G10+H10</x:f>
        <x:v>1</x:v>
      </x:c>
      <x:c r="J10" s="16" t="n">
        <x:v>0.5</x:v>
      </x:c>
      <x:c r="K10" s="17" t="n">
        <x:f>J10/サマリー!$B$9</x:f>
        <x:v>0.0625</x:v>
      </x:c>
      <x:c r="L10" s="17" t="n">
        <x:f>K10*サマリー!$B$10</x:f>
        <x:v>0.5</x:v>
      </x:c>
      <x:c r="M10" s="18" t="str">
        <x:v>PlayerStateJumpあり</x:v>
      </x:c>
      <x:c r="N10" s="18" t="str"/>
      <x:c r="O10" s="16"/>
    </x:row>
    <x:row r="11">
      <x:c r="A11" s="15" t="str">
        <x:v>T007</x:v>
      </x:c>
      <x:c r="B11" s="15" t="str">
        <x:v>プロト</x:v>
      </x:c>
      <x:c r="C11" s="15" t="str">
        <x:v>プレイヤー</x:v>
      </x:c>
      <x:c r="D11" s="15" t="str">
        <x:v>ホバー</x:v>
      </x:c>
      <x:c r="E11" s="15" t="str">
        <x:v>B</x:v>
      </x:c>
      <x:c r="F11" s="15" t="str">
        <x:v>コードあり・要確認</x:v>
      </x:c>
      <x:c r="G11" s="16" t="n">
        <x:v>2</x:v>
      </x:c>
      <x:c r="H11" s="16" t="n">
        <x:v>0</x:v>
      </x:c>
      <x:c r="I11" s="17" t="n">
        <x:f>G11+H11</x:f>
        <x:v>2</x:v>
      </x:c>
      <x:c r="J11" s="16" t="n">
        <x:v>1</x:v>
      </x:c>
      <x:c r="K11" s="17" t="n">
        <x:f>J11/サマリー!$B$9</x:f>
        <x:v>0.125</x:v>
      </x:c>
      <x:c r="L11" s="17" t="n">
        <x:f>K11*サマリー!$B$10</x:f>
        <x:v>1</x:v>
      </x:c>
      <x:c r="M11" s="18" t="str">
        <x:v>PlayerStateHoverあり</x:v>
      </x:c>
      <x:c r="N11" s="18" t="str"/>
      <x:c r="O11" s="16"/>
    </x:row>
    <x:row r="12">
      <x:c r="A12" s="15" t="str">
        <x:v>T008</x:v>
      </x:c>
      <x:c r="B12" s="15" t="str">
        <x:v>プロト</x:v>
      </x:c>
      <x:c r="C12" s="15" t="str">
        <x:v>プレイヤー</x:v>
      </x:c>
      <x:c r="D12" s="15" t="str">
        <x:v>回避・ダッシュ</x:v>
      </x:c>
      <x:c r="E12" s="15" t="str">
        <x:v>S</x:v>
      </x:c>
      <x:c r="F12" s="15" t="str">
        <x:v>コードあり・要確認</x:v>
      </x:c>
      <x:c r="G12" s="16" t="n">
        <x:v>1</x:v>
      </x:c>
      <x:c r="H12" s="16" t="n">
        <x:v>0</x:v>
      </x:c>
      <x:c r="I12" s="17" t="n">
        <x:f>G12+H12</x:f>
        <x:v>1</x:v>
      </x:c>
      <x:c r="J12" s="16" t="n">
        <x:v>1</x:v>
      </x:c>
      <x:c r="K12" s="17" t="n">
        <x:f>J12/サマリー!$B$9</x:f>
        <x:v>0.125</x:v>
      </x:c>
      <x:c r="L12" s="17" t="n">
        <x:f>K12*サマリー!$B$10</x:f>
        <x:v>1</x:v>
      </x:c>
      <x:c r="M12" s="18" t="str">
        <x:v>Playerの状態・Physics実装を動作確認</x:v>
      </x:c>
      <x:c r="N12" s="18" t="str"/>
      <x:c r="O12" s="16"/>
    </x:row>
    <x:row r="13">
      <x:c r="A13" s="15" t="str">
        <x:v>T009</x:v>
      </x:c>
      <x:c r="B13" s="15" t="str">
        <x:v>プロト</x:v>
      </x:c>
      <x:c r="C13" s="15" t="str">
        <x:v>プレイヤー</x:v>
      </x:c>
      <x:c r="D13" s="15" t="str">
        <x:v>エイム</x:v>
      </x:c>
      <x:c r="E13" s="15" t="str">
        <x:v>S</x:v>
      </x:c>
      <x:c r="F13" s="15" t="str">
        <x:v>一部実装</x:v>
      </x:c>
      <x:c r="G13" s="16" t="n">
        <x:v>10</x:v>
      </x:c>
      <x:c r="H13" s="16" t="n">
        <x:v>0</x:v>
      </x:c>
      <x:c r="I13" s="17" t="n">
        <x:f>G13+H13</x:f>
        <x:v>10</x:v>
      </x:c>
      <x:c r="J13" s="16" t="n">
        <x:v>3</x:v>
      </x:c>
      <x:c r="K13" s="17" t="n">
        <x:f>J13/サマリー!$B$9</x:f>
        <x:v>0.375</x:v>
      </x:c>
      <x:c r="L13" s="17" t="n">
        <x:f>K13*サマリー!$B$10</x:f>
        <x:v>3</x:v>
      </x:c>
      <x:c r="M13" s="18" t="str">
        <x:v>Playerの照準レイ・カメラ参照あり。操作感と座標系確認</x:v>
      </x:c>
      <x:c r="N13" s="18" t="str"/>
      <x:c r="O13" s="16"/>
    </x:row>
    <x:row r="14">
      <x:c r="A14" s="15" t="str">
        <x:v>T010</x:v>
      </x:c>
      <x:c r="B14" s="15" t="str">
        <x:v>プロト</x:v>
      </x:c>
      <x:c r="C14" s="15" t="str">
        <x:v>プレイヤー</x:v>
      </x:c>
      <x:c r="D14" s="15" t="str">
        <x:v>射撃</x:v>
      </x:c>
      <x:c r="E14" s="15" t="str">
        <x:v>S</x:v>
      </x:c>
      <x:c r="F14" s="15" t="str">
        <x:v>一部実装</x:v>
      </x:c>
      <x:c r="G14" s="16" t="n">
        <x:v>5</x:v>
      </x:c>
      <x:c r="H14" s="16" t="n">
        <x:v>4</x:v>
      </x:c>
      <x:c r="I14" s="17" t="n">
        <x:f>G14+H14</x:f>
        <x:v>9</x:v>
      </x:c>
      <x:c r="J14" s="16" t="n">
        <x:v>7</x:v>
      </x:c>
      <x:c r="K14" s="17" t="n">
        <x:f>J14/サマリー!$B$9</x:f>
        <x:v>0.875</x:v>
      </x:c>
      <x:c r="L14" s="17" t="n">
        <x:f>K14*サマリー!$B$10</x:f>
        <x:v>7</x:v>
      </x:c>
      <x:c r="M14" s="18" t="str">
        <x:v>PlayerのRayCastと銃モデル描画あり。被弾通知・ダメージ連携を追加</x:v>
      </x:c>
      <x:c r="N14" s="18" t="str"/>
      <x:c r="O14" s="16"/>
    </x:row>
    <x:row r="15">
      <x:c r="A15" s="15" t="str">
        <x:v>T011</x:v>
      </x:c>
      <x:c r="B15" s="15" t="str">
        <x:v>プロト</x:v>
      </x:c>
      <x:c r="C15" s="15" t="str">
        <x:v>プレイヤー</x:v>
      </x:c>
      <x:c r="D15" s="15" t="str">
        <x:v>必殺技</x:v>
      </x:c>
      <x:c r="E15" s="15" t="str">
        <x:v>B</x:v>
      </x:c>
      <x:c r="F15" s="15" t="str">
        <x:v>未着手</x:v>
      </x:c>
      <x:c r="G15" s="16" t="n">
        <x:v>5</x:v>
      </x:c>
      <x:c r="H15" s="16" t="n">
        <x:v>0</x:v>
      </x:c>
      <x:c r="I15" s="17" t="n">
        <x:f>G15+H15</x:f>
        <x:v>5</x:v>
      </x:c>
      <x:c r="J15" s="16" t="n">
        <x:v>5</x:v>
      </x:c>
      <x:c r="K15" s="17" t="n">
        <x:f>J15/サマリー!$B$9</x:f>
        <x:v>0.625</x:v>
      </x:c>
      <x:c r="L15" s="17" t="n">
        <x:f>K15*サマリー!$B$10</x:f>
        <x:v>5</x:v>
      </x:c>
      <x:c r="M15" s="18" t="str">
        <x:v>元表の項目。仕様未確定</x:v>
      </x:c>
      <x:c r="N15" s="18" t="str"/>
      <x:c r="O15" s="16"/>
    </x:row>
    <x:row r="16">
      <x:c r="A16" s="15" t="str">
        <x:v>T012</x:v>
      </x:c>
      <x:c r="B16" s="15" t="str">
        <x:v>プロト</x:v>
      </x:c>
      <x:c r="C16" s="15" t="str">
        <x:v>カメラ</x:v>
      </x:c>
      <x:c r="D16" s="15" t="str">
        <x:v>通常カメラ</x:v>
      </x:c>
      <x:c r="E16" s="15" t="str">
        <x:v>S</x:v>
      </x:c>
      <x:c r="F16" s="15" t="str">
        <x:v>コードあり・要確認</x:v>
      </x:c>
      <x:c r="G16" s="16" t="n">
        <x:v>7</x:v>
      </x:c>
      <x:c r="H16" s="16" t="n">
        <x:v>0</x:v>
      </x:c>
      <x:c r="I16" s="17" t="n">
        <x:f>G16+H16</x:f>
        <x:v>7</x:v>
      </x:c>
      <x:c r="J16" s="16" t="n">
        <x:v>2</x:v>
      </x:c>
      <x:c r="K16" s="17" t="n">
        <x:f>J16/サマリー!$B$9</x:f>
        <x:v>0.25</x:v>
      </x:c>
      <x:c r="L16" s="17" t="n">
        <x:f>K16*サマリー!$B$10</x:f>
        <x:v>2</x:v>
      </x:c>
      <x:c r="M16" s="18" t="str">
        <x:v>Camera.cpp/hあり</x:v>
      </x:c>
      <x:c r="N16" s="18" t="str"/>
      <x:c r="O16" s="16"/>
    </x:row>
    <x:row r="17">
      <x:c r="A17" s="15" t="str">
        <x:v>T013</x:v>
      </x:c>
      <x:c r="B17" s="15" t="str">
        <x:v>プロト</x:v>
      </x:c>
      <x:c r="C17" s="15" t="str">
        <x:v>カメラ</x:v>
      </x:c>
      <x:c r="D17" s="15" t="str">
        <x:v>エイムカメラ</x:v>
      </x:c>
      <x:c r="E17" s="15" t="str">
        <x:v>S</x:v>
      </x:c>
      <x:c r="F17" s="15" t="str">
        <x:v>一部実装</x:v>
      </x:c>
      <x:c r="G17" s="16" t="n">
        <x:v>7</x:v>
      </x:c>
      <x:c r="H17" s="16" t="n">
        <x:v>0</x:v>
      </x:c>
      <x:c r="I17" s="17" t="n">
        <x:f>G17+H17</x:f>
        <x:v>7</x:v>
      </x:c>
      <x:c r="J17" s="16" t="n">
        <x:v>3</x:v>
      </x:c>
      <x:c r="K17" s="17" t="n">
        <x:f>J17/サマリー!$B$9</x:f>
        <x:v>0.375</x:v>
      </x:c>
      <x:c r="L17" s="17" t="n">
        <x:f>K17*サマリー!$B$10</x:f>
        <x:v>3</x:v>
      </x:c>
      <x:c r="M17" s="18" t="str">
        <x:v>照準時の視点処理をPlayerと統合確認</x:v>
      </x:c>
      <x:c r="N17" s="18" t="str"/>
      <x:c r="O17" s="16"/>
    </x:row>
    <x:row r="18">
      <x:c r="A18" s="15" t="str">
        <x:v>T014</x:v>
      </x:c>
      <x:c r="B18" s="15" t="str">
        <x:v>プロト</x:v>
      </x:c>
      <x:c r="C18" s="15" t="str">
        <x:v>ハッキング</x:v>
      </x:c>
      <x:c r="D18" s="15" t="str">
        <x:v>盤面生成とデータ調整</x:v>
      </x:c>
      <x:c r="E18" s="15" t="str">
        <x:v>S</x:v>
      </x:c>
      <x:c r="F18" s="15" t="str">
        <x:v>一部実装</x:v>
      </x:c>
      <x:c r="G18" s="16" t="n">
        <x:v>5</x:v>
      </x:c>
      <x:c r="H18" s="16" t="n">
        <x:v>2</x:v>
      </x:c>
      <x:c r="I18" s="17" t="n">
        <x:f>G18+H18</x:f>
        <x:v>7</x:v>
      </x:c>
      <x:c r="J18" s="16" t="n">
        <x:v>5</x:v>
      </x:c>
      <x:c r="K18" s="17" t="n">
        <x:f>J18/サマリー!$B$9</x:f>
        <x:v>0.625</x:v>
      </x:c>
      <x:c r="L18" s="17" t="n">
        <x:f>K18*サマリー!$B$10</x:f>
        <x:v>5</x:v>
      </x:c>
      <x:c r="M18" s="18" t="str">
        <x:v>HackingManager/Hackableあり。盤面の外部データ化・調整性が残る</x:v>
      </x:c>
      <x:c r="N18" s="18" t="str"/>
      <x:c r="O18" s="16"/>
    </x:row>
    <x:row r="19">
      <x:c r="A19" s="15" t="str">
        <x:v>T015</x:v>
      </x:c>
      <x:c r="B19" s="15" t="str">
        <x:v>プロト</x:v>
      </x:c>
      <x:c r="C19" s="15" t="str">
        <x:v>ハッキング</x:v>
      </x:c>
      <x:c r="D19" s="15" t="str">
        <x:v>盤面移動と経路制約</x:v>
      </x:c>
      <x:c r="E19" s="15" t="str">
        <x:v>S</x:v>
      </x:c>
      <x:c r="F19" s="15" t="str">
        <x:v>コードあり・要確認</x:v>
      </x:c>
      <x:c r="G19" s="16" t="n">
        <x:v>5</x:v>
      </x:c>
      <x:c r="H19" s="16" t="n">
        <x:v>0</x:v>
      </x:c>
      <x:c r="I19" s="17" t="n">
        <x:f>G19+H19</x:f>
        <x:v>5</x:v>
      </x:c>
      <x:c r="J19" s="16" t="n">
        <x:v>2</x:v>
      </x:c>
      <x:c r="K19" s="17" t="n">
        <x:f>J19/サマリー!$B$9</x:f>
        <x:v>0.25</x:v>
      </x:c>
      <x:c r="L19" s="17" t="n">
        <x:f>K19*サマリー!$B$10</x:f>
        <x:v>2</x:v>
      </x:c>
      <x:c r="M19" s="18" t="str">
        <x:v>Hackableの移動処理あり。全マス条件を検証</x:v>
      </x:c>
      <x:c r="N19" s="18" t="str"/>
      <x:c r="O19" s="16"/>
    </x:row>
    <x:row r="20">
      <x:c r="A20" s="15" t="str">
        <x:v>T016</x:v>
      </x:c>
      <x:c r="B20" s="15" t="str">
        <x:v>プロト</x:v>
      </x:c>
      <x:c r="C20" s="15" t="str">
        <x:v>ハッキング</x:v>
      </x:c>
      <x:c r="D20" s="15" t="str">
        <x:v>成功・失敗の発動</x:v>
      </x:c>
      <x:c r="E20" s="15" t="str">
        <x:v>S</x:v>
      </x:c>
      <x:c r="F20" s="15" t="str">
        <x:v>一部実装</x:v>
      </x:c>
      <x:c r="G20" s="16" t="n">
        <x:v>5</x:v>
      </x:c>
      <x:c r="H20" s="16" t="n">
        <x:v>2</x:v>
      </x:c>
      <x:c r="I20" s="17" t="n">
        <x:f>G20+H20</x:f>
        <x:v>7</x:v>
      </x:c>
      <x:c r="J20" s="16" t="n">
        <x:v>4</x:v>
      </x:c>
      <x:c r="K20" s="17" t="n">
        <x:f>J20/サマリー!$B$9</x:f>
        <x:v>0.5</x:v>
      </x:c>
      <x:c r="L20" s="17" t="n">
        <x:f>K20*サマリー!$B$10</x:f>
        <x:v>4</x:v>
      </x:c>
      <x:c r="M20" s="18" t="str">
        <x:v>HackingManager/Hackableあり。敵状態・リセット連携を要確認</x:v>
      </x:c>
      <x:c r="N20" s="18" t="str"/>
      <x:c r="O20" s="16"/>
    </x:row>
    <x:row r="21">
      <x:c r="A21" s="15" t="str">
        <x:v>T017</x:v>
      </x:c>
      <x:c r="B21" s="15" t="str">
        <x:v>プロト</x:v>
      </x:c>
      <x:c r="C21" s="15" t="str">
        <x:v>ハッキング</x:v>
      </x:c>
      <x:c r="D21" s="15" t="str">
        <x:v>ハッキング特殊効果</x:v>
      </x:c>
      <x:c r="E21" s="15" t="str">
        <x:v>S</x:v>
      </x:c>
      <x:c r="F21" s="15" t="str">
        <x:v>一部実装</x:v>
      </x:c>
      <x:c r="G21" s="16" t="n">
        <x:v>5</x:v>
      </x:c>
      <x:c r="H21" s="16" t="n">
        <x:v>3</x:v>
      </x:c>
      <x:c r="I21" s="17" t="n">
        <x:f>G21+H21</x:f>
        <x:v>8</x:v>
      </x:c>
      <x:c r="J21" s="16" t="n">
        <x:v>8</x:v>
      </x:c>
      <x:c r="K21" s="17" t="n">
        <x:f>J21/サマリー!$B$9</x:f>
        <x:v>1</x:v>
      </x:c>
      <x:c r="L21" s="17" t="n">
        <x:f>K21*サマリー!$B$10</x:f>
        <x:v>8</x:v>
      </x:c>
      <x:c r="M21" s="18" t="str">
        <x:v>黄色マス等。銃強化・伝播・停止などを追加</x:v>
      </x:c>
      <x:c r="N21" s="18" t="str"/>
      <x:c r="O21" s="16"/>
    </x:row>
    <x:row r="22">
      <x:c r="A22" s="15" t="str">
        <x:v>T018</x:v>
      </x:c>
      <x:c r="B22" s="15" t="str">
        <x:v>プロト</x:v>
      </x:c>
      <x:c r="C22" s="15" t="str">
        <x:v>敵</x:v>
      </x:c>
      <x:c r="D22" s="15" t="str">
        <x:v>敵ベース</x:v>
      </x:c>
      <x:c r="E22" s="15" t="str">
        <x:v>S</x:v>
      </x:c>
      <x:c r="F22" s="15" t="str">
        <x:v>コードあり・要確認</x:v>
      </x:c>
      <x:c r="G22" s="16" t="n">
        <x:v>4</x:v>
      </x:c>
      <x:c r="H22" s="16" t="n">
        <x:v>0</x:v>
      </x:c>
      <x:c r="I22" s="17" t="n">
        <x:f>G22+H22</x:f>
        <x:v>4</x:v>
      </x:c>
      <x:c r="J22" s="16" t="n">
        <x:v>2</x:v>
      </x:c>
      <x:c r="K22" s="17" t="n">
        <x:f>J22/サマリー!$B$9</x:f>
        <x:v>0.25</x:v>
      </x:c>
      <x:c r="L22" s="17" t="n">
        <x:f>K22*サマリー!$B$10</x:f>
        <x:v>2</x:v>
      </x:c>
      <x:c r="M22" s="18" t="str">
        <x:v>EnemyBase、Hitbox、Hackable、EnemyHPUIあり</x:v>
      </x:c>
      <x:c r="N22" s="18" t="str"/>
      <x:c r="O22" s="16"/>
    </x:row>
    <x:row r="23">
      <x:c r="A23" s="15" t="str">
        <x:v>T019</x:v>
      </x:c>
      <x:c r="B23" s="15" t="str">
        <x:v>プロト</x:v>
      </x:c>
      <x:c r="C23" s="15" t="str">
        <x:v>敵</x:v>
      </x:c>
      <x:c r="D23" s="15" t="str">
        <x:v>雑魚敵1（テスト敵）</x:v>
      </x:c>
      <x:c r="E23" s="15" t="str">
        <x:v>S</x:v>
      </x:c>
      <x:c r="F23" s="15" t="str">
        <x:v>コードあり・要確認</x:v>
      </x:c>
      <x:c r="G23" s="16" t="n">
        <x:v>4</x:v>
      </x:c>
      <x:c r="H23" s="16" t="n">
        <x:v>0</x:v>
      </x:c>
      <x:c r="I23" s="17" t="n">
        <x:f>G23+H23</x:f>
        <x:v>4</x:v>
      </x:c>
      <x:c r="J23" s="16" t="n">
        <x:v>2</x:v>
      </x:c>
      <x:c r="K23" s="17" t="n">
        <x:f>J23/サマリー!$B$9</x:f>
        <x:v>0.25</x:v>
      </x:c>
      <x:c r="L23" s="17" t="n">
        <x:f>K23*サマリー!$B$10</x:f>
        <x:v>2</x:v>
      </x:c>
      <x:c r="M23" s="18" t="str">
        <x:v>TestEnemy.cpp/hあり</x:v>
      </x:c>
      <x:c r="N23" s="18" t="str"/>
      <x:c r="O23" s="16"/>
    </x:row>
    <x:row r="24">
      <x:c r="A24" s="15" t="str">
        <x:v>T020</x:v>
      </x:c>
      <x:c r="B24" s="15" t="str">
        <x:v>アルファ</x:v>
      </x:c>
      <x:c r="C24" s="15" t="str">
        <x:v>敵</x:v>
      </x:c>
      <x:c r="D24" s="15" t="str">
        <x:v>雑魚敵2（Walker）</x:v>
      </x:c>
      <x:c r="E24" s="15" t="str">
        <x:v>S</x:v>
      </x:c>
      <x:c r="F24" s="15" t="str">
        <x:v>一部実装</x:v>
      </x:c>
      <x:c r="G24" s="16" t="n">
        <x:v>4</x:v>
      </x:c>
      <x:c r="H24" s="16" t="n">
        <x:v>2</x:v>
      </x:c>
      <x:c r="I24" s="17" t="n">
        <x:f>G24+H24</x:f>
        <x:v>6</x:v>
      </x:c>
      <x:c r="J24" s="16" t="n">
        <x:v>4</x:v>
      </x:c>
      <x:c r="K24" s="17" t="n">
        <x:f>J24/サマリー!$B$9</x:f>
        <x:v>0.5</x:v>
      </x:c>
      <x:c r="L24" s="17" t="n">
        <x:f>K24*サマリー!$B$10</x:f>
        <x:v>4</x:v>
      </x:c>
      <x:c r="M24" s="18" t="str">
        <x:v>WalkerとOrbit/Approach状態、モデルあり。調整・動作確認が残る</x:v>
      </x:c>
      <x:c r="N24" s="18" t="str"/>
      <x:c r="O24" s="16"/>
    </x:row>
    <x:row r="25">
      <x:c r="A25" s="15" t="str">
        <x:v>T021</x:v>
      </x:c>
      <x:c r="B25" s="15" t="str">
        <x:v>アルファ</x:v>
      </x:c>
      <x:c r="C25" s="15" t="str">
        <x:v>敵</x:v>
      </x:c>
      <x:c r="D25" s="15" t="str">
        <x:v>雑魚敵3</x:v>
      </x:c>
      <x:c r="E25" s="15" t="str">
        <x:v>A</x:v>
      </x:c>
      <x:c r="F25" s="15" t="str">
        <x:v>未着手</x:v>
      </x:c>
      <x:c r="G25" s="16" t="n">
        <x:v>4</x:v>
      </x:c>
      <x:c r="H25" s="16" t="n">
        <x:v>0</x:v>
      </x:c>
      <x:c r="I25" s="17" t="n">
        <x:f>G25+H25</x:f>
        <x:v>4</x:v>
      </x:c>
      <x:c r="J25" s="16" t="n">
        <x:v>4</x:v>
      </x:c>
      <x:c r="K25" s="17" t="n">
        <x:f>J25/サマリー!$B$9</x:f>
        <x:v>0.5</x:v>
      </x:c>
      <x:c r="L25" s="17" t="n">
        <x:f>K25*サマリー!$B$10</x:f>
        <x:v>4</x:v>
      </x:c>
      <x:c r="M25" s="18" t="str">
        <x:v>元表の追加敵</x:v>
      </x:c>
      <x:c r="N25" s="18" t="str"/>
      <x:c r="O25" s="16"/>
    </x:row>
    <x:row r="26">
      <x:c r="A26" s="15" t="str">
        <x:v>T022</x:v>
      </x:c>
      <x:c r="B26" s="15" t="str">
        <x:v>プロト</x:v>
      </x:c>
      <x:c r="C26" s="15" t="str">
        <x:v>敵</x:v>
      </x:c>
      <x:c r="D26" s="15" t="str">
        <x:v>ボス1</x:v>
      </x:c>
      <x:c r="E26" s="15" t="str">
        <x:v>S</x:v>
      </x:c>
      <x:c r="F26" s="15" t="str">
        <x:v>未着手</x:v>
      </x:c>
      <x:c r="G26" s="16" t="n">
        <x:v>7</x:v>
      </x:c>
      <x:c r="H26" s="16" t="n">
        <x:v>0</x:v>
      </x:c>
      <x:c r="I26" s="17" t="n">
        <x:f>G26+H26</x:f>
        <x:v>7</x:v>
      </x:c>
      <x:c r="J26" s="16" t="n">
        <x:v>7</x:v>
      </x:c>
      <x:c r="K26" s="17" t="n">
        <x:f>J26/サマリー!$B$9</x:f>
        <x:v>0.875</x:v>
      </x:c>
      <x:c r="L26" s="17" t="n">
        <x:f>K26*サマリー!$B$10</x:f>
        <x:v>7</x:v>
      </x:c>
      <x:c r="M26" s="18" t="str">
        <x:v>元表の項目</x:v>
      </x:c>
      <x:c r="N26" s="18" t="str"/>
      <x:c r="O26" s="16"/>
    </x:row>
    <x:row r="27">
      <x:c r="A27" s="15" t="str">
        <x:v>T023</x:v>
      </x:c>
      <x:c r="B27" s="15" t="str">
        <x:v>アルファ</x:v>
      </x:c>
      <x:c r="C27" s="15" t="str">
        <x:v>敵</x:v>
      </x:c>
      <x:c r="D27" s="15" t="str">
        <x:v>ボス2</x:v>
      </x:c>
      <x:c r="E27" s="15" t="str">
        <x:v>A</x:v>
      </x:c>
      <x:c r="F27" s="15" t="str">
        <x:v>未着手</x:v>
      </x:c>
      <x:c r="G27" s="16" t="n">
        <x:v>5</x:v>
      </x:c>
      <x:c r="H27" s="16" t="n">
        <x:v>0</x:v>
      </x:c>
      <x:c r="I27" s="17" t="n">
        <x:f>G27+H27</x:f>
        <x:v>5</x:v>
      </x:c>
      <x:c r="J27" s="16" t="n">
        <x:v>5</x:v>
      </x:c>
      <x:c r="K27" s="17" t="n">
        <x:f>J27/サマリー!$B$9</x:f>
        <x:v>0.625</x:v>
      </x:c>
      <x:c r="L27" s="17" t="n">
        <x:f>K27*サマリー!$B$10</x:f>
        <x:v>5</x:v>
      </x:c>
      <x:c r="M27" s="18" t="str">
        <x:v>元表の項目</x:v>
      </x:c>
      <x:c r="N27" s="18" t="str"/>
      <x:c r="O27" s="16"/>
    </x:row>
    <x:row r="28">
      <x:c r="A28" s="15" t="str">
        <x:v>T024</x:v>
      </x:c>
      <x:c r="B28" s="15" t="str">
        <x:v>アルファ</x:v>
      </x:c>
      <x:c r="C28" s="15" t="str">
        <x:v>敵</x:v>
      </x:c>
      <x:c r="D28" s="15" t="str">
        <x:v>ボス3</x:v>
      </x:c>
      <x:c r="E28" s="15" t="str">
        <x:v>A</x:v>
      </x:c>
      <x:c r="F28" s="15" t="str">
        <x:v>未着手</x:v>
      </x:c>
      <x:c r="G28" s="16" t="n">
        <x:v>5</x:v>
      </x:c>
      <x:c r="H28" s="16" t="n">
        <x:v>0</x:v>
      </x:c>
      <x:c r="I28" s="17" t="n">
        <x:f>G28+H28</x:f>
        <x:v>5</x:v>
      </x:c>
      <x:c r="J28" s="16" t="n">
        <x:v>5</x:v>
      </x:c>
      <x:c r="K28" s="17" t="n">
        <x:f>J28/サマリー!$B$9</x:f>
        <x:v>0.625</x:v>
      </x:c>
      <x:c r="L28" s="17" t="n">
        <x:f>K28*サマリー!$B$10</x:f>
        <x:v>5</x:v>
      </x:c>
      <x:c r="M28" s="18" t="str">
        <x:v>元表の項目</x:v>
      </x:c>
      <x:c r="N28" s="18" t="str"/>
      <x:c r="O28" s="16"/>
    </x:row>
    <x:row r="29">
      <x:c r="A29" s="15" t="str">
        <x:v>T025</x:v>
      </x:c>
      <x:c r="B29" s="15" t="str">
        <x:v>プロト</x:v>
      </x:c>
      <x:c r="C29" s="15" t="str">
        <x:v>ステージ</x:v>
      </x:c>
      <x:c r="D29" s="15" t="str">
        <x:v>ステージ1（仮レイアウト）</x:v>
      </x:c>
      <x:c r="E29" s="15" t="str">
        <x:v>S</x:v>
      </x:c>
      <x:c r="F29" s="15" t="str">
        <x:v>一部実装</x:v>
      </x:c>
      <x:c r="G29" s="16" t="n">
        <x:v>10</x:v>
      </x:c>
      <x:c r="H29" s="16" t="n">
        <x:v>0</x:v>
      </x:c>
      <x:c r="I29" s="17" t="n">
        <x:f>G29+H29</x:f>
        <x:v>10</x:v>
      </x:c>
      <x:c r="J29" s="16" t="n">
        <x:v>7</x:v>
      </x:c>
      <x:c r="K29" s="17" t="n">
        <x:f>J29/サマリー!$B$9</x:f>
        <x:v>0.875</x:v>
      </x:c>
      <x:c r="L29" s="17" t="n">
        <x:f>K29*サマリー!$B$10</x:f>
        <x:v>7</x:v>
      </x:c>
      <x:c r="M29" s="18" t="str">
        <x:v>StaticStageあり。プレイ可能区画・導線・配置が必要</x:v>
      </x:c>
      <x:c r="N29" s="18" t="str"/>
      <x:c r="O29" s="16"/>
    </x:row>
    <x:row r="30">
      <x:c r="A30" s="15" t="str">
        <x:v>T026</x:v>
      </x:c>
      <x:c r="B30" s="15" t="str">
        <x:v>アルファ</x:v>
      </x:c>
      <x:c r="C30" s="15" t="str">
        <x:v>ステージ</x:v>
      </x:c>
      <x:c r="D30" s="15" t="str">
        <x:v>ステージ2</x:v>
      </x:c>
      <x:c r="E30" s="15" t="str">
        <x:v>A</x:v>
      </x:c>
      <x:c r="F30" s="15" t="str">
        <x:v>未着手</x:v>
      </x:c>
      <x:c r="G30" s="16" t="n">
        <x:v>10</x:v>
      </x:c>
      <x:c r="H30" s="16" t="n">
        <x:v>0</x:v>
      </x:c>
      <x:c r="I30" s="17" t="n">
        <x:f>G30+H30</x:f>
        <x:v>10</x:v>
      </x:c>
      <x:c r="J30" s="16" t="n">
        <x:v>10</x:v>
      </x:c>
      <x:c r="K30" s="17" t="n">
        <x:f>J30/サマリー!$B$9</x:f>
        <x:v>1.25</x:v>
      </x:c>
      <x:c r="L30" s="17" t="n">
        <x:f>K30*サマリー!$B$10</x:f>
        <x:v>10</x:v>
      </x:c>
      <x:c r="M30" s="18" t="str">
        <x:v>元表の項目</x:v>
      </x:c>
      <x:c r="N30" s="18" t="str"/>
      <x:c r="O30" s="16"/>
    </x:row>
    <x:row r="31">
      <x:c r="A31" s="15" t="str">
        <x:v>T027</x:v>
      </x:c>
      <x:c r="B31" s="15" t="str">
        <x:v>アルファ</x:v>
      </x:c>
      <x:c r="C31" s="15" t="str">
        <x:v>ステージ</x:v>
      </x:c>
      <x:c r="D31" s="15" t="str">
        <x:v>ステージ3</x:v>
      </x:c>
      <x:c r="E31" s="15" t="str">
        <x:v>A</x:v>
      </x:c>
      <x:c r="F31" s="15" t="str">
        <x:v>未着手</x:v>
      </x:c>
      <x:c r="G31" s="16" t="n">
        <x:v>10</x:v>
      </x:c>
      <x:c r="H31" s="16" t="n">
        <x:v>0</x:v>
      </x:c>
      <x:c r="I31" s="17" t="n">
        <x:f>G31+H31</x:f>
        <x:v>10</x:v>
      </x:c>
      <x:c r="J31" s="16" t="n">
        <x:v>10</x:v>
      </x:c>
      <x:c r="K31" s="17" t="n">
        <x:f>J31/サマリー!$B$9</x:f>
        <x:v>1.25</x:v>
      </x:c>
      <x:c r="L31" s="17" t="n">
        <x:f>K31*サマリー!$B$10</x:f>
        <x:v>10</x:v>
      </x:c>
      <x:c r="M31" s="18" t="str">
        <x:v>元表の項目</x:v>
      </x:c>
      <x:c r="N31" s="18" t="str"/>
      <x:c r="O31" s="16"/>
    </x:row>
    <x:row r="32">
      <x:c r="A32" s="15" t="str">
        <x:v>T028</x:v>
      </x:c>
      <x:c r="B32" s="15" t="str">
        <x:v>プロト</x:v>
      </x:c>
      <x:c r="C32" s="15" t="str">
        <x:v>システム</x:v>
      </x:c>
      <x:c r="D32" s="15" t="str">
        <x:v>アニメーション基盤・ブレンド</x:v>
      </x:c>
      <x:c r="E32" s="15" t="str">
        <x:v>S</x:v>
      </x:c>
      <x:c r="F32" s="15" t="str">
        <x:v>コードあり・要確認</x:v>
      </x:c>
      <x:c r="G32" s="16" t="n">
        <x:v>5</x:v>
      </x:c>
      <x:c r="H32" s="16" t="n">
        <x:v>0</x:v>
      </x:c>
      <x:c r="I32" s="17" t="n">
        <x:f>G32+H32</x:f>
        <x:v>5</x:v>
      </x:c>
      <x:c r="J32" s="16" t="n">
        <x:v>2</x:v>
      </x:c>
      <x:c r="K32" s="17" t="n">
        <x:f>J32/サマリー!$B$9</x:f>
        <x:v>0.25</x:v>
      </x:c>
      <x:c r="L32" s="17" t="n">
        <x:f>K32*サマリー!$B$10</x:f>
        <x:v>2</x:v>
      </x:c>
      <x:c r="M32" s="18" t="str">
        <x:v>Animator/AnimationLayerあり。遷移と見た目を確認</x:v>
      </x:c>
      <x:c r="N32" s="18" t="str"/>
      <x:c r="O32" s="16"/>
    </x:row>
    <x:row r="33">
      <x:c r="A33" s="15" t="str">
        <x:v>T029</x:v>
      </x:c>
      <x:c r="B33" s="15" t="str">
        <x:v>プロト</x:v>
      </x:c>
      <x:c r="C33" s="15" t="str">
        <x:v>システム</x:v>
      </x:c>
      <x:c r="D33" s="15" t="str">
        <x:v>クラス設計・基盤整理</x:v>
      </x:c>
      <x:c r="E33" s="15" t="str">
        <x:v>S</x:v>
      </x:c>
      <x:c r="F33" s="15" t="str">
        <x:v>一部実装</x:v>
      </x:c>
      <x:c r="G33" s="16" t="n">
        <x:v>15</x:v>
      </x:c>
      <x:c r="H33" s="16" t="n">
        <x:v>0</x:v>
      </x:c>
      <x:c r="I33" s="17" t="n">
        <x:f>G33+H33</x:f>
        <x:v>15</x:v>
      </x:c>
      <x:c r="J33" s="16" t="n">
        <x:v>5</x:v>
      </x:c>
      <x:c r="K33" s="17" t="n">
        <x:f>J33/サマリー!$B$9</x:f>
        <x:v>0.625</x:v>
      </x:c>
      <x:c r="L33" s="17" t="n">
        <x:f>K33*サマリー!$B$10</x:f>
        <x:v>5</x:v>
      </x:c>
      <x:c r="M33" s="18" t="str">
        <x:v>GameObject/Component/StateMachine等の基盤あり。責務整理</x:v>
      </x:c>
      <x:c r="N33" s="18" t="str"/>
      <x:c r="O33" s="16"/>
    </x:row>
    <x:row r="34">
      <x:c r="A34" s="15" t="str">
        <x:v>T030</x:v>
      </x:c>
      <x:c r="B34" s="15" t="str">
        <x:v>プロト</x:v>
      </x:c>
      <x:c r="C34" s="15" t="str">
        <x:v>素材</x:v>
      </x:c>
      <x:c r="D34" s="15" t="str">
        <x:v>モデル</x:v>
      </x:c>
      <x:c r="E34" s="15" t="str">
        <x:v>S</x:v>
      </x:c>
      <x:c r="F34" s="15" t="str">
        <x:v>一部実装</x:v>
      </x:c>
      <x:c r="G34" s="16" t="n">
        <x:v>5</x:v>
      </x:c>
      <x:c r="H34" s="16" t="n">
        <x:v>0</x:v>
      </x:c>
      <x:c r="I34" s="17" t="n">
        <x:f>G34+H34</x:f>
        <x:v>5</x:v>
      </x:c>
      <x:c r="J34" s="16" t="n">
        <x:v>3</x:v>
      </x:c>
      <x:c r="K34" s="17" t="n">
        <x:f>J34/サマリー!$B$9</x:f>
        <x:v>0.375</x:v>
      </x:c>
      <x:c r="L34" s="17" t="n">
        <x:f>K34*サマリー!$B$10</x:f>
        <x:v>3</x:v>
      </x:c>
      <x:c r="M34" s="18" t="str">
        <x:v>Player/Gun/Walkerモデル参照あり。配置・スケール確認</x:v>
      </x:c>
      <x:c r="N34" s="18" t="str"/>
      <x:c r="O34" s="16"/>
    </x:row>
    <x:row r="35">
      <x:c r="A35" s="15" t="str">
        <x:v>T031</x:v>
      </x:c>
      <x:c r="B35" s="15" t="str">
        <x:v>プロト</x:v>
      </x:c>
      <x:c r="C35" s="15" t="str">
        <x:v>素材</x:v>
      </x:c>
      <x:c r="D35" s="15" t="str">
        <x:v>アニメーション素材</x:v>
      </x:c>
      <x:c r="E35" s="15" t="str">
        <x:v>S</x:v>
      </x:c>
      <x:c r="F35" s="15" t="str">
        <x:v>一部実装</x:v>
      </x:c>
      <x:c r="G35" s="16" t="n">
        <x:v>5</x:v>
      </x:c>
      <x:c r="H35" s="16" t="n">
        <x:v>0</x:v>
      </x:c>
      <x:c r="I35" s="17" t="n">
        <x:f>G35+H35</x:f>
        <x:v>5</x:v>
      </x:c>
      <x:c r="J35" s="16" t="n">
        <x:v>4</x:v>
      </x:c>
      <x:c r="K35" s="17" t="n">
        <x:f>J35/サマリー!$B$9</x:f>
        <x:v>0.5</x:v>
      </x:c>
      <x:c r="L35" s="17" t="n">
        <x:f>K35*サマリー!$B$10</x:f>
        <x:v>4</x:v>
      </x:c>
      <x:c r="M35" s="18" t="str">
        <x:v>Animator基盤あり。必要なアニメーション組み込み</x:v>
      </x:c>
      <x:c r="N35" s="18" t="str"/>
      <x:c r="O35" s="16"/>
    </x:row>
    <x:row r="36">
      <x:c r="A36" s="15" t="str">
        <x:v>T032</x:v>
      </x:c>
      <x:c r="B36" s="15" t="str">
        <x:v>アルファ</x:v>
      </x:c>
      <x:c r="C36" s="15" t="str">
        <x:v>素材</x:v>
      </x:c>
      <x:c r="D36" s="15" t="str">
        <x:v>画像・テクスチャ</x:v>
      </x:c>
      <x:c r="E36" s="15" t="str">
        <x:v>S</x:v>
      </x:c>
      <x:c r="F36" s="15" t="str">
        <x:v>一部実装</x:v>
      </x:c>
      <x:c r="G36" s="16" t="n">
        <x:v>5</x:v>
      </x:c>
      <x:c r="H36" s="16" t="n">
        <x:v>0</x:v>
      </x:c>
      <x:c r="I36" s="17" t="n">
        <x:f>G36+H36</x:f>
        <x:v>5</x:v>
      </x:c>
      <x:c r="J36" s="16" t="n">
        <x:v>3</x:v>
      </x:c>
      <x:c r="K36" s="17" t="n">
        <x:f>J36/サマリー!$B$9</x:f>
        <x:v>0.375</x:v>
      </x:c>
      <x:c r="L36" s="17" t="n">
        <x:f>K36*サマリー!$B$10</x:f>
        <x:v>3</x:v>
      </x:c>
      <x:c r="M36" s="18" t="str">
        <x:v>Walker素材/テクスチャあり。ゲーム用調整と反映確認</x:v>
      </x:c>
      <x:c r="N36" s="18" t="str"/>
      <x:c r="O36" s="16"/>
    </x:row>
    <x:row r="37">
      <x:c r="A37" s="15" t="str">
        <x:v>T033</x:v>
      </x:c>
      <x:c r="B37" s="15" t="str">
        <x:v>ベータ</x:v>
      </x:c>
      <x:c r="C37" s="15" t="str">
        <x:v>素材</x:v>
      </x:c>
      <x:c r="D37" s="15" t="str">
        <x:v>音素材</x:v>
      </x:c>
      <x:c r="E37" s="15" t="str">
        <x:v>S</x:v>
      </x:c>
      <x:c r="F37" s="15" t="str">
        <x:v>未着手</x:v>
      </x:c>
      <x:c r="G37" s="16" t="n">
        <x:v>5</x:v>
      </x:c>
      <x:c r="H37" s="16" t="n">
        <x:v>0</x:v>
      </x:c>
      <x:c r="I37" s="17" t="n">
        <x:f>G37+H37</x:f>
        <x:v>5</x:v>
      </x:c>
      <x:c r="J37" s="16" t="n">
        <x:v>5</x:v>
      </x:c>
      <x:c r="K37" s="17" t="n">
        <x:f>J37/サマリー!$B$9</x:f>
        <x:v>0.625</x:v>
      </x:c>
      <x:c r="L37" s="17" t="n">
        <x:f>K37*サマリー!$B$10</x:f>
        <x:v>5</x:v>
      </x:c>
      <x:c r="M37" s="18" t="str">
        <x:v>元表の項目</x:v>
      </x:c>
      <x:c r="N37" s="18" t="str"/>
      <x:c r="O37" s="16"/>
    </x:row>
    <x:row r="38">
      <x:c r="A38" s="15" t="str">
        <x:v>T034</x:v>
      </x:c>
      <x:c r="B38" s="15" t="str">
        <x:v>アルファ</x:v>
      </x:c>
      <x:c r="C38" s="15" t="str">
        <x:v>演出</x:v>
      </x:c>
      <x:c r="D38" s="15" t="str">
        <x:v>エフェクトマネージャー</x:v>
      </x:c>
      <x:c r="E38" s="15" t="str">
        <x:v>S</x:v>
      </x:c>
      <x:c r="F38" s="15" t="str">
        <x:v>未着手</x:v>
      </x:c>
      <x:c r="G38" s="16" t="n">
        <x:v>2</x:v>
      </x:c>
      <x:c r="H38" s="16" t="n">
        <x:v>0</x:v>
      </x:c>
      <x:c r="I38" s="17" t="n">
        <x:f>G38+H38</x:f>
        <x:v>2</x:v>
      </x:c>
      <x:c r="J38" s="16" t="n">
        <x:v>2</x:v>
      </x:c>
      <x:c r="K38" s="17" t="n">
        <x:f>J38/サマリー!$B$9</x:f>
        <x:v>0.25</x:v>
      </x:c>
      <x:c r="L38" s="17" t="n">
        <x:f>K38*サマリー!$B$10</x:f>
        <x:v>2</x:v>
      </x:c>
      <x:c r="M38" s="18" t="str">
        <x:v>元表の項目</x:v>
      </x:c>
      <x:c r="N38" s="18" t="str"/>
      <x:c r="O38" s="16"/>
    </x:row>
    <x:row r="39">
      <x:c r="A39" s="15" t="str">
        <x:v>T035</x:v>
      </x:c>
      <x:c r="B39" s="15" t="str">
        <x:v>アルファ</x:v>
      </x:c>
      <x:c r="C39" s="15" t="str">
        <x:v>演出</x:v>
      </x:c>
      <x:c r="D39" s="15" t="str">
        <x:v>エフェクト実装</x:v>
      </x:c>
      <x:c r="E39" s="15" t="str">
        <x:v>S</x:v>
      </x:c>
      <x:c r="F39" s="15" t="str">
        <x:v>未着手</x:v>
      </x:c>
      <x:c r="G39" s="16" t="n">
        <x:v>4</x:v>
      </x:c>
      <x:c r="H39" s="16" t="n">
        <x:v>0</x:v>
      </x:c>
      <x:c r="I39" s="17" t="n">
        <x:f>G39+H39</x:f>
        <x:v>4</x:v>
      </x:c>
      <x:c r="J39" s="16" t="n">
        <x:v>4</x:v>
      </x:c>
      <x:c r="K39" s="17" t="n">
        <x:f>J39/サマリー!$B$9</x:f>
        <x:v>0.5</x:v>
      </x:c>
      <x:c r="L39" s="17" t="n">
        <x:f>K39*サマリー!$B$10</x:f>
        <x:v>4</x:v>
      </x:c>
      <x:c r="M39" s="18" t="str">
        <x:v>命中・ハッキング・被弾など</x:v>
      </x:c>
      <x:c r="N39" s="18" t="str"/>
      <x:c r="O39" s="16"/>
    </x:row>
    <x:row r="40">
      <x:c r="A40" s="15" t="str">
        <x:v>T036</x:v>
      </x:c>
      <x:c r="B40" s="15" t="str">
        <x:v>アルファ</x:v>
      </x:c>
      <x:c r="C40" s="15" t="str">
        <x:v>演出</x:v>
      </x:c>
      <x:c r="D40" s="15" t="str">
        <x:v>サウンドマネージャー</x:v>
      </x:c>
      <x:c r="E40" s="15" t="str">
        <x:v>S</x:v>
      </x:c>
      <x:c r="F40" s="15" t="str">
        <x:v>未着手</x:v>
      </x:c>
      <x:c r="G40" s="16" t="n">
        <x:v>2</x:v>
      </x:c>
      <x:c r="H40" s="16" t="n">
        <x:v>0</x:v>
      </x:c>
      <x:c r="I40" s="17" t="n">
        <x:f>G40+H40</x:f>
        <x:v>2</x:v>
      </x:c>
      <x:c r="J40" s="16" t="n">
        <x:v>2</x:v>
      </x:c>
      <x:c r="K40" s="17" t="n">
        <x:f>J40/サマリー!$B$9</x:f>
        <x:v>0.25</x:v>
      </x:c>
      <x:c r="L40" s="17" t="n">
        <x:f>K40*サマリー!$B$10</x:f>
        <x:v>2</x:v>
      </x:c>
      <x:c r="M40" s="18" t="str">
        <x:v>元表の項目</x:v>
      </x:c>
      <x:c r="N40" s="18" t="str"/>
      <x:c r="O40" s="16"/>
    </x:row>
    <x:row r="41">
      <x:c r="A41" s="15" t="str">
        <x:v>T037</x:v>
      </x:c>
      <x:c r="B41" s="15" t="str">
        <x:v>ベータ</x:v>
      </x:c>
      <x:c r="C41" s="15" t="str">
        <x:v>演出</x:v>
      </x:c>
      <x:c r="D41" s="15" t="str">
        <x:v>サウンド実装</x:v>
      </x:c>
      <x:c r="E41" s="15" t="str">
        <x:v>S</x:v>
      </x:c>
      <x:c r="F41" s="15" t="str">
        <x:v>未着手</x:v>
      </x:c>
      <x:c r="G41" s="16" t="n">
        <x:v>4</x:v>
      </x:c>
      <x:c r="H41" s="16" t="n">
        <x:v>0</x:v>
      </x:c>
      <x:c r="I41" s="17" t="n">
        <x:f>G41+H41</x:f>
        <x:v>4</x:v>
      </x:c>
      <x:c r="J41" s="16" t="n">
        <x:v>4</x:v>
      </x:c>
      <x:c r="K41" s="17" t="n">
        <x:f>J41/サマリー!$B$9</x:f>
        <x:v>0.5</x:v>
      </x:c>
      <x:c r="L41" s="17" t="n">
        <x:f>K41*サマリー!$B$10</x:f>
        <x:v>4</x:v>
      </x:c>
      <x:c r="M41" s="18" t="str">
        <x:v>元表の項目</x:v>
      </x:c>
      <x:c r="N41" s="18" t="str"/>
      <x:c r="O41" s="16"/>
    </x:row>
    <x:row r="42">
      <x:c r="A42" s="15" t="str">
        <x:v>T038</x:v>
      </x:c>
      <x:c r="B42" s="15" t="str">
        <x:v>プロト</x:v>
      </x:c>
      <x:c r="C42" s="15" t="str">
        <x:v>シーン</x:v>
      </x:c>
      <x:c r="D42" s="15" t="str">
        <x:v>シーンマネージャー</x:v>
      </x:c>
      <x:c r="E42" s="15" t="str">
        <x:v>S</x:v>
      </x:c>
      <x:c r="F42" s="15" t="str">
        <x:v>コードあり・要確認</x:v>
      </x:c>
      <x:c r="G42" s="16" t="n">
        <x:v>3</x:v>
      </x:c>
      <x:c r="H42" s="16" t="n">
        <x:v>0</x:v>
      </x:c>
      <x:c r="I42" s="17" t="n">
        <x:f>G42+H42</x:f>
        <x:v>3</x:v>
      </x:c>
      <x:c r="J42" s="16" t="n">
        <x:v>1</x:v>
      </x:c>
      <x:c r="K42" s="17" t="n">
        <x:f>J42/サマリー!$B$9</x:f>
        <x:v>0.125</x:v>
      </x:c>
      <x:c r="L42" s="17" t="n">
        <x:f>K42*サマリー!$B$10</x:f>
        <x:v>1</x:v>
      </x:c>
      <x:c r="M42" s="18" t="str">
        <x:v>SceneManagerあり</x:v>
      </x:c>
      <x:c r="N42" s="18" t="str"/>
      <x:c r="O42" s="16"/>
    </x:row>
    <x:row r="43">
      <x:c r="A43" s="15" t="str">
        <x:v>T039</x:v>
      </x:c>
      <x:c r="B43" s="15" t="str">
        <x:v>プロト</x:v>
      </x:c>
      <x:c r="C43" s="15" t="str">
        <x:v>シーン</x:v>
      </x:c>
      <x:c r="D43" s="15" t="str">
        <x:v>ゲームシーン</x:v>
      </x:c>
      <x:c r="E43" s="15" t="str">
        <x:v>S</x:v>
      </x:c>
      <x:c r="F43" s="15" t="str">
        <x:v>一部実装</x:v>
      </x:c>
      <x:c r="G43" s="16" t="n">
        <x:v>5</x:v>
      </x:c>
      <x:c r="H43" s="16" t="n">
        <x:v>0</x:v>
      </x:c>
      <x:c r="I43" s="17" t="n">
        <x:f>G43+H43</x:f>
        <x:v>5</x:v>
      </x:c>
      <x:c r="J43" s="16" t="n">
        <x:v>3</x:v>
      </x:c>
      <x:c r="K43" s="17" t="n">
        <x:f>J43/サマリー!$B$9</x:f>
        <x:v>0.375</x:v>
      </x:c>
      <x:c r="L43" s="17" t="n">
        <x:f>K43*サマリー!$B$10</x:f>
        <x:v>3</x:v>
      </x:c>
      <x:c r="M43" s="18" t="str">
        <x:v>SceneMainあり。ゲームループとプレイ条件を確認</x:v>
      </x:c>
      <x:c r="N43" s="18" t="str"/>
      <x:c r="O43" s="16"/>
    </x:row>
    <x:row r="44">
      <x:c r="A44" s="15" t="str">
        <x:v>T040</x:v>
      </x:c>
      <x:c r="B44" s="15" t="str">
        <x:v>アルファ</x:v>
      </x:c>
      <x:c r="C44" s="15" t="str">
        <x:v>シーン</x:v>
      </x:c>
      <x:c r="D44" s="15" t="str">
        <x:v>タイトル</x:v>
      </x:c>
      <x:c r="E44" s="15" t="str">
        <x:v>S</x:v>
      </x:c>
      <x:c r="F44" s="15" t="str">
        <x:v>未着手</x:v>
      </x:c>
      <x:c r="G44" s="16" t="n">
        <x:v>3</x:v>
      </x:c>
      <x:c r="H44" s="16" t="n">
        <x:v>0</x:v>
      </x:c>
      <x:c r="I44" s="17" t="n">
        <x:f>G44+H44</x:f>
        <x:v>3</x:v>
      </x:c>
      <x:c r="J44" s="16" t="n">
        <x:v>3</x:v>
      </x:c>
      <x:c r="K44" s="17" t="n">
        <x:f>J44/サマリー!$B$9</x:f>
        <x:v>0.375</x:v>
      </x:c>
      <x:c r="L44" s="17" t="n">
        <x:f>K44*サマリー!$B$10</x:f>
        <x:v>3</x:v>
      </x:c>
      <x:c r="M44" s="18" t="str">
        <x:v>元表の項目</x:v>
      </x:c>
      <x:c r="N44" s="18" t="str"/>
      <x:c r="O44" s="16"/>
    </x:row>
    <x:row r="45">
      <x:c r="A45" s="15" t="str">
        <x:v>T041</x:v>
      </x:c>
      <x:c r="B45" s="15" t="str">
        <x:v>アルファ</x:v>
      </x:c>
      <x:c r="C45" s="15" t="str">
        <x:v>シーン</x:v>
      </x:c>
      <x:c r="D45" s="15" t="str">
        <x:v>クリア</x:v>
      </x:c>
      <x:c r="E45" s="15" t="str">
        <x:v>S</x:v>
      </x:c>
      <x:c r="F45" s="15" t="str">
        <x:v>未着手</x:v>
      </x:c>
      <x:c r="G45" s="16" t="n">
        <x:v>3</x:v>
      </x:c>
      <x:c r="H45" s="16" t="n">
        <x:v>0</x:v>
      </x:c>
      <x:c r="I45" s="17" t="n">
        <x:f>G45+H45</x:f>
        <x:v>3</x:v>
      </x:c>
      <x:c r="J45" s="16" t="n">
        <x:v>3</x:v>
      </x:c>
      <x:c r="K45" s="17" t="n">
        <x:f>J45/サマリー!$B$9</x:f>
        <x:v>0.375</x:v>
      </x:c>
      <x:c r="L45" s="17" t="n">
        <x:f>K45*サマリー!$B$10</x:f>
        <x:v>3</x:v>
      </x:c>
      <x:c r="M45" s="18" t="str">
        <x:v>元表の項目</x:v>
      </x:c>
      <x:c r="N45" s="18" t="str"/>
      <x:c r="O45" s="16"/>
    </x:row>
    <x:row r="46">
      <x:c r="A46" s="15" t="str">
        <x:v>T042</x:v>
      </x:c>
      <x:c r="B46" s="15" t="str">
        <x:v>アルファ</x:v>
      </x:c>
      <x:c r="C46" s="15" t="str">
        <x:v>シーン</x:v>
      </x:c>
      <x:c r="D46" s="15" t="str">
        <x:v>ゲームオーバー</x:v>
      </x:c>
      <x:c r="E46" s="15" t="str">
        <x:v>S</x:v>
      </x:c>
      <x:c r="F46" s="15" t="str">
        <x:v>未着手</x:v>
      </x:c>
      <x:c r="G46" s="16" t="n">
        <x:v>3</x:v>
      </x:c>
      <x:c r="H46" s="16" t="n">
        <x:v>0</x:v>
      </x:c>
      <x:c r="I46" s="17" t="n">
        <x:f>G46+H46</x:f>
        <x:v>3</x:v>
      </x:c>
      <x:c r="J46" s="16" t="n">
        <x:v>3</x:v>
      </x:c>
      <x:c r="K46" s="17" t="n">
        <x:f>J46/サマリー!$B$9</x:f>
        <x:v>0.375</x:v>
      </x:c>
      <x:c r="L46" s="17" t="n">
        <x:f>K46*サマリー!$B$10</x:f>
        <x:v>3</x:v>
      </x:c>
      <x:c r="M46" s="18" t="str">
        <x:v>元表の項目</x:v>
      </x:c>
      <x:c r="N46" s="18" t="str"/>
      <x:c r="O46" s="16"/>
    </x:row>
    <x:row r="47">
      <x:c r="A47" s="15" t="str">
        <x:v>T043</x:v>
      </x:c>
      <x:c r="B47" s="15" t="str">
        <x:v>アルファ</x:v>
      </x:c>
      <x:c r="C47" s="15" t="str">
        <x:v>シーン</x:v>
      </x:c>
      <x:c r="D47" s="15" t="str">
        <x:v>ステージセレクト</x:v>
      </x:c>
      <x:c r="E47" s="15" t="str">
        <x:v>S</x:v>
      </x:c>
      <x:c r="F47" s="15" t="str">
        <x:v>未着手</x:v>
      </x:c>
      <x:c r="G47" s="16" t="n">
        <x:v>3</x:v>
      </x:c>
      <x:c r="H47" s="16" t="n">
        <x:v>0</x:v>
      </x:c>
      <x:c r="I47" s="17" t="n">
        <x:f>G47+H47</x:f>
        <x:v>3</x:v>
      </x:c>
      <x:c r="J47" s="16" t="n">
        <x:v>3</x:v>
      </x:c>
      <x:c r="K47" s="17" t="n">
        <x:f>J47/サマリー!$B$9</x:f>
        <x:v>0.375</x:v>
      </x:c>
      <x:c r="L47" s="17" t="n">
        <x:f>K47*サマリー!$B$10</x:f>
        <x:v>3</x:v>
      </x:c>
      <x:c r="M47" s="18" t="str">
        <x:v>元表の項目</x:v>
      </x:c>
      <x:c r="N47" s="18" t="str"/>
      <x:c r="O47" s="16"/>
    </x:row>
    <x:row r="48">
      <x:c r="A48" s="15" t="str">
        <x:v>T044</x:v>
      </x:c>
      <x:c r="B48" s="15" t="str">
        <x:v>アルファ</x:v>
      </x:c>
      <x:c r="C48" s="15" t="str">
        <x:v>シーン</x:v>
      </x:c>
      <x:c r="D48" s="15" t="str">
        <x:v>ポーズ</x:v>
      </x:c>
      <x:c r="E48" s="15" t="str">
        <x:v>S</x:v>
      </x:c>
      <x:c r="F48" s="15" t="str">
        <x:v>未着手</x:v>
      </x:c>
      <x:c r="G48" s="16" t="n">
        <x:v>3</x:v>
      </x:c>
      <x:c r="H48" s="16" t="n">
        <x:v>0</x:v>
      </x:c>
      <x:c r="I48" s="17" t="n">
        <x:f>G48+H48</x:f>
        <x:v>3</x:v>
      </x:c>
      <x:c r="J48" s="16" t="n">
        <x:v>3</x:v>
      </x:c>
      <x:c r="K48" s="17" t="n">
        <x:f>J48/サマリー!$B$9</x:f>
        <x:v>0.375</x:v>
      </x:c>
      <x:c r="L48" s="17" t="n">
        <x:f>K48*サマリー!$B$10</x:f>
        <x:v>3</x:v>
      </x:c>
      <x:c r="M48" s="18" t="str">
        <x:v>元表の項目</x:v>
      </x:c>
      <x:c r="N48" s="18" t="str"/>
      <x:c r="O48" s="16"/>
    </x:row>
    <x:row r="49">
      <x:c r="A49" s="15" t="str">
        <x:v>T045</x:v>
      </x:c>
      <x:c r="B49" s="15" t="str">
        <x:v>アルファ</x:v>
      </x:c>
      <x:c r="C49" s="15" t="str">
        <x:v>シーン</x:v>
      </x:c>
      <x:c r="D49" s="15" t="str">
        <x:v>オプション</x:v>
      </x:c>
      <x:c r="E49" s="15" t="str">
        <x:v>A</x:v>
      </x:c>
      <x:c r="F49" s="15" t="str">
        <x:v>未着手</x:v>
      </x:c>
      <x:c r="G49" s="16" t="n">
        <x:v>5</x:v>
      </x:c>
      <x:c r="H49" s="16" t="n">
        <x:v>0</x:v>
      </x:c>
      <x:c r="I49" s="17" t="n">
        <x:f>G49+H49</x:f>
        <x:v>5</x:v>
      </x:c>
      <x:c r="J49" s="16" t="n">
        <x:v>5</x:v>
      </x:c>
      <x:c r="K49" s="17" t="n">
        <x:f>J49/サマリー!$B$9</x:f>
        <x:v>0.625</x:v>
      </x:c>
      <x:c r="L49" s="17" t="n">
        <x:f>K49*サマリー!$B$10</x:f>
        <x:v>5</x:v>
      </x:c>
      <x:c r="M49" s="18" t="str">
        <x:v>元表の項目</x:v>
      </x:c>
      <x:c r="N49" s="18" t="str"/>
      <x:c r="O49" s="16"/>
    </x:row>
    <x:row r="50">
      <x:c r="A50" s="15" t="str">
        <x:v>T046</x:v>
      </x:c>
      <x:c r="B50" s="15" t="str">
        <x:v>プロト</x:v>
      </x:c>
      <x:c r="C50" s="15" t="str">
        <x:v>当たり判定</x:v>
      </x:c>
      <x:c r="D50" s="15" t="str">
        <x:v>カプセル対カプセル・線分の接触点/法線検証</x:v>
      </x:c>
      <x:c r="E50" s="15" t="str">
        <x:v>S</x:v>
      </x:c>
      <x:c r="F50" s="15" t="str">
        <x:v>計画追加</x:v>
      </x:c>
      <x:c r="G50" s="16" t="n">
        <x:v>0</x:v>
      </x:c>
      <x:c r="H50" s="16" t="n">
        <x:v>6</x:v>
      </x:c>
      <x:c r="I50" s="17" t="n">
        <x:f>G50+H50</x:f>
        <x:v>6</x:v>
      </x:c>
      <x:c r="J50" s="16" t="n">
        <x:v>6</x:v>
      </x:c>
      <x:c r="K50" s="17" t="n">
        <x:f>J50/サマリー!$B$9</x:f>
        <x:v>0.75</x:v>
      </x:c>
      <x:c r="L50" s="17" t="n">
        <x:f>K50*サマリー!$B$10</x:f>
        <x:v>6</x:v>
      </x:c>
      <x:c r="M50" s="18" t="str">
        <x:v>MyLibの線分判定、CollisionManagerのRayCastを確認</x:v>
      </x:c>
      <x:c r="N50" s="18" t="str">
        <x:v>端点・平行・退化ケースを確認</x:v>
      </x:c>
      <x:c r="O50" s="16"/>
    </x:row>
    <x:row r="51">
      <x:c r="A51" s="15" t="str">
        <x:v>T047</x:v>
      </x:c>
      <x:c r="B51" s="15" t="str">
        <x:v>プロト</x:v>
      </x:c>
      <x:c r="C51" s="15" t="str">
        <x:v>当たり判定</x:v>
      </x:c>
      <x:c r="D51" s="15" t="str">
        <x:v>床接地・坂道追従・押し戻しの安定化</x:v>
      </x:c>
      <x:c r="E51" s="15" t="str">
        <x:v>S</x:v>
      </x:c>
      <x:c r="F51" s="15" t="str">
        <x:v>計画追加</x:v>
      </x:c>
      <x:c r="G51" s="16" t="n">
        <x:v>0</x:v>
      </x:c>
      <x:c r="H51" s="16" t="n">
        <x:v>8</x:v>
      </x:c>
      <x:c r="I51" s="17" t="n">
        <x:f>G51+H51</x:f>
        <x:v>8</x:v>
      </x:c>
      <x:c r="J51" s="16" t="n">
        <x:v>8</x:v>
      </x:c>
      <x:c r="K51" s="17" t="n">
        <x:f>J51/サマリー!$B$9</x:f>
        <x:v>1</x:v>
      </x:c>
      <x:c r="L51" s="17" t="n">
        <x:f>K51*サマリー!$B$10</x:f>
        <x:v>8</x:v>
      </x:c>
      <x:c r="M51" s="18" t="str">
        <x:v>Physics.cppとPolygonColliderあり</x:v>
      </x:c>
      <x:c r="N51" s="18" t="str">
        <x:v>坂、壁際、段差、連続接触を検証</x:v>
      </x:c>
      <x:c r="O51" s="16"/>
    </x:row>
    <x:row r="52">
      <x:c r="A52" s="15" t="str">
        <x:v>T048</x:v>
      </x:c>
      <x:c r="B52" s="15" t="str">
        <x:v>プロト</x:v>
      </x:c>
      <x:c r="C52" s="15" t="str">
        <x:v>射撃</x:v>
      </x:c>
      <x:c r="D52" s="15" t="str">
        <x:v>被弾対象コンポーネントと命中通知</x:v>
      </x:c>
      <x:c r="E52" s="15" t="str">
        <x:v>S</x:v>
      </x:c>
      <x:c r="F52" s="15" t="str">
        <x:v>計画追加</x:v>
      </x:c>
      <x:c r="G52" s="16" t="n">
        <x:v>0</x:v>
      </x:c>
      <x:c r="H52" s="16" t="n">
        <x:v>8</x:v>
      </x:c>
      <x:c r="I52" s="17" t="n">
        <x:f>G52+H52</x:f>
        <x:v>8</x:v>
      </x:c>
      <x:c r="J52" s="16" t="n">
        <x:v>8</x:v>
      </x:c>
      <x:c r="K52" s="17" t="n">
        <x:f>J52/サマリー!$B$9</x:f>
        <x:v>1</x:v>
      </x:c>
      <x:c r="L52" s="17" t="n">
        <x:f>K52*サマリー!$B$10</x:f>
        <x:v>8</x:v>
      </x:c>
      <x:c r="M52" s="18" t="str">
        <x:v>Hitboxはあるが射撃対象登録/ダメージ通知一式は独立項目なし</x:v>
      </x:c>
      <x:c r="N52" s="18" t="str"/>
      <x:c r="O52" s="16"/>
    </x:row>
    <x:row r="53">
      <x:c r="A53" s="15" t="str">
        <x:v>T049</x:v>
      </x:c>
      <x:c r="B53" s="15" t="str">
        <x:v>アルファ</x:v>
      </x:c>
      <x:c r="C53" s="15" t="str">
        <x:v>敵</x:v>
      </x:c>
      <x:c r="D53" s="15" t="str">
        <x:v>HP・被ダメージ・撃破とUI連携</x:v>
      </x:c>
      <x:c r="E53" s="15" t="str">
        <x:v>S</x:v>
      </x:c>
      <x:c r="F53" s="15" t="str">
        <x:v>計画追加</x:v>
      </x:c>
      <x:c r="G53" s="16" t="n">
        <x:v>0</x:v>
      </x:c>
      <x:c r="H53" s="16" t="n">
        <x:v>10</x:v>
      </x:c>
      <x:c r="I53" s="17" t="n">
        <x:f>G53+H53</x:f>
        <x:v>10</x:v>
      </x:c>
      <x:c r="J53" s="16" t="n">
        <x:v>10</x:v>
      </x:c>
      <x:c r="K53" s="17" t="n">
        <x:f>J53/サマリー!$B$9</x:f>
        <x:v>1.25</x:v>
      </x:c>
      <x:c r="L53" s="17" t="n">
        <x:f>K53*サマリー!$B$10</x:f>
        <x:v>10</x:v>
      </x:c>
      <x:c r="M53" s="18" t="str">
        <x:v>EnemyHPUI/Hitboxあり。射撃・ハッキングとの接続</x:v>
      </x:c>
      <x:c r="N53" s="18" t="str"/>
      <x:c r="O53" s="16"/>
    </x:row>
    <x:row r="54">
      <x:c r="A54" s="15" t="str">
        <x:v>T050</x:v>
      </x:c>
      <x:c r="B54" s="15" t="str">
        <x:v>アルファ</x:v>
      </x:c>
      <x:c r="C54" s="15" t="str">
        <x:v>ハッキング</x:v>
      </x:c>
      <x:c r="D54" s="15" t="str">
        <x:v>弱体化時間・青/黄色マス効果の統合</x:v>
      </x:c>
      <x:c r="E54" s="15" t="str">
        <x:v>S</x:v>
      </x:c>
      <x:c r="F54" s="15" t="str">
        <x:v>計画追加</x:v>
      </x:c>
      <x:c r="G54" s="16" t="n">
        <x:v>0</x:v>
      </x:c>
      <x:c r="H54" s="16" t="n">
        <x:v>8</x:v>
      </x:c>
      <x:c r="I54" s="17" t="n">
        <x:f>G54+H54</x:f>
        <x:v>8</x:v>
      </x:c>
      <x:c r="J54" s="16" t="n">
        <x:v>8</x:v>
      </x:c>
      <x:c r="K54" s="17" t="n">
        <x:f>J54/サマリー!$B$9</x:f>
        <x:v>1</x:v>
      </x:c>
      <x:c r="L54" s="17" t="n">
        <x:f>K54*サマリー!$B$10</x:f>
        <x:v>8</x:v>
      </x:c>
      <x:c r="M54" s="18" t="str">
        <x:v>仕様メモとHackableあり。効果時間・重複・解除を決める</x:v>
      </x:c>
      <x:c r="N54" s="18" t="str"/>
      <x:c r="O54" s="16"/>
    </x:row>
    <x:row r="55">
      <x:c r="A55" s="15" t="str">
        <x:v>T051</x:v>
      </x:c>
      <x:c r="B55" s="15" t="str">
        <x:v>アルファ</x:v>
      </x:c>
      <x:c r="C55" s="15" t="str">
        <x:v>敵</x:v>
      </x:c>
      <x:c r="D55" s="15" t="str">
        <x:v>Walkerの攻撃・被弾・アニメーション統合</x:v>
      </x:c>
      <x:c r="E55" s="15" t="str">
        <x:v>S</x:v>
      </x:c>
      <x:c r="F55" s="15" t="str">
        <x:v>計画追加</x:v>
      </x:c>
      <x:c r="G55" s="16" t="n">
        <x:v>0</x:v>
      </x:c>
      <x:c r="H55" s="16" t="n">
        <x:v>8</x:v>
      </x:c>
      <x:c r="I55" s="17" t="n">
        <x:f>G55+H55</x:f>
        <x:v>8</x:v>
      </x:c>
      <x:c r="J55" s="16" t="n">
        <x:v>8</x:v>
      </x:c>
      <x:c r="K55" s="17" t="n">
        <x:f>J55/サマリー!$B$9</x:f>
        <x:v>1</x:v>
      </x:c>
      <x:c r="L55" s="17" t="n">
        <x:f>K55*サマリー!$B$10</x:f>
        <x:v>8</x:v>
      </x:c>
      <x:c r="M55" s="18" t="str">
        <x:v>Walkerの状態クラスとモデルあり。戦闘ループを完成</x:v>
      </x:c>
      <x:c r="N55" s="18" t="str"/>
      <x:c r="O55" s="16"/>
    </x:row>
    <x:row r="56">
      <x:c r="A56" s="15" t="str">
        <x:v>T052</x:v>
      </x:c>
      <x:c r="B56" s="15" t="str">
        <x:v>プロト</x:v>
      </x:c>
      <x:c r="C56" s="15" t="str">
        <x:v>ステージ</x:v>
      </x:c>
      <x:c r="D56" s="15" t="str">
        <x:v>ステージ1の衝突ブロックアウト・進行確認</x:v>
      </x:c>
      <x:c r="E56" s="15" t="str">
        <x:v>S</x:v>
      </x:c>
      <x:c r="F56" s="15" t="str">
        <x:v>計画追加</x:v>
      </x:c>
      <x:c r="G56" s="16" t="n">
        <x:v>0</x:v>
      </x:c>
      <x:c r="H56" s="16" t="n">
        <x:v>8</x:v>
      </x:c>
      <x:c r="I56" s="17" t="n">
        <x:f>G56+H56</x:f>
        <x:v>8</x:v>
      </x:c>
      <x:c r="J56" s="16" t="n">
        <x:v>8</x:v>
      </x:c>
      <x:c r="K56" s="17" t="n">
        <x:f>J56/サマリー!$B$9</x:f>
        <x:v>1</x:v>
      </x:c>
      <x:c r="L56" s="17" t="n">
        <x:f>K56*サマリー!$B$10</x:f>
        <x:v>8</x:v>
      </x:c>
      <x:c r="M56" s="18" t="str">
        <x:v>StaticStageに移動・射撃・ハッキング可能な導線を追加</x:v>
      </x:c>
      <x:c r="N56" s="18" t="str"/>
      <x:c r="O56" s="16"/>
    </x:row>
    <x:row r="57">
      <x:c r="A57" s="15" t="str">
        <x:v>T053</x:v>
      </x:c>
      <x:c r="B57" s="15" t="str">
        <x:v>アルファ</x:v>
      </x:c>
      <x:c r="C57" s="15" t="str">
        <x:v>UI</x:v>
      </x:c>
      <x:c r="D57" s="15" t="str">
        <x:v>HP・照準・ハッキング状態のHUD統合</x:v>
      </x:c>
      <x:c r="E57" s="15" t="str">
        <x:v>S</x:v>
      </x:c>
      <x:c r="F57" s="15" t="str">
        <x:v>計画追加</x:v>
      </x:c>
      <x:c r="G57" s="16" t="n">
        <x:v>0</x:v>
      </x:c>
      <x:c r="H57" s="16" t="n">
        <x:v>8</x:v>
      </x:c>
      <x:c r="I57" s="17" t="n">
        <x:f>G57+H57</x:f>
        <x:v>8</x:v>
      </x:c>
      <x:c r="J57" s="16" t="n">
        <x:v>8</x:v>
      </x:c>
      <x:c r="K57" s="17" t="n">
        <x:f>J57/サマリー!$B$9</x:f>
        <x:v>1</x:v>
      </x:c>
      <x:c r="L57" s="17" t="n">
        <x:f>K57*サマリー!$B$10</x:f>
        <x:v>8</x:v>
      </x:c>
      <x:c r="M57" s="18" t="str">
        <x:v>UIManager/EnemyHPUI/HackingTargetUIあり。Player HUDを追加</x:v>
      </x:c>
      <x:c r="N57" s="18" t="str"/>
      <x:c r="O57" s="16"/>
    </x:row>
    <x:row r="58">
      <x:c r="A58" s="15" t="str">
        <x:v>T054</x:v>
      </x:c>
      <x:c r="B58" s="15" t="str">
        <x:v>ベータ</x:v>
      </x:c>
      <x:c r="C58" s="15" t="str">
        <x:v>テスト</x:v>
      </x:c>
      <x:c r="D58" s="15" t="str">
        <x:v>戦闘・ハッキング・ステージの通し調整</x:v>
      </x:c>
      <x:c r="E58" s="15" t="str">
        <x:v>S</x:v>
      </x:c>
      <x:c r="F58" s="15" t="str">
        <x:v>計画追加</x:v>
      </x:c>
      <x:c r="G58" s="16" t="n">
        <x:v>0</x:v>
      </x:c>
      <x:c r="H58" s="16" t="n">
        <x:v>10</x:v>
      </x:c>
      <x:c r="I58" s="17" t="n">
        <x:f>G58+H58</x:f>
        <x:v>10</x:v>
      </x:c>
      <x:c r="J58" s="16" t="n">
        <x:v>10</x:v>
      </x:c>
      <x:c r="K58" s="17" t="n">
        <x:f>J58/サマリー!$B$9</x:f>
        <x:v>1.25</x:v>
      </x:c>
      <x:c r="L58" s="17" t="n">
        <x:f>K58*サマリー!$B$10</x:f>
        <x:v>10</x:v>
      </x:c>
      <x:c r="M58" s="18" t="str">
        <x:v>結合時の難易度・操作性・不具合修正</x:v>
      </x:c>
      <x:c r="N58" s="18" t="str"/>
      <x:c r="O58" s="16"/>
    </x:row>
    <x:row r="59">
      <x:c r="A59" s="15" t="str">
        <x:v>T055</x:v>
      </x:c>
      <x:c r="B59" s="15" t="str">
        <x:v>ベータ</x:v>
      </x:c>
      <x:c r="C59" s="15" t="str">
        <x:v>演出</x:v>
      </x:c>
      <x:c r="D59" s="15" t="str">
        <x:v>Walker装甲テクスチャと見た目反映</x:v>
      </x:c>
      <x:c r="E59" s="15" t="str">
        <x:v>A</x:v>
      </x:c>
      <x:c r="F59" s="15" t="str">
        <x:v>計画追加</x:v>
      </x:c>
      <x:c r="G59" s="16" t="n">
        <x:v>0</x:v>
      </x:c>
      <x:c r="H59" s="16" t="n">
        <x:v>6</x:v>
      </x:c>
      <x:c r="I59" s="17" t="n">
        <x:f>G59+H59</x:f>
        <x:v>6</x:v>
      </x:c>
      <x:c r="J59" s="16" t="n">
        <x:v>6</x:v>
      </x:c>
      <x:c r="K59" s="17" t="n">
        <x:f>J59/サマリー!$B$9</x:f>
        <x:v>0.75</x:v>
      </x:c>
      <x:c r="L59" s="17" t="n">
        <x:f>K59*サマリー!$B$10</x:f>
        <x:v>6</x:v>
      </x:c>
      <x:c r="M59" s="18" t="str">
        <x:v>装甲展開・水色強調の見た目をゲーム素材へ反映</x:v>
      </x:c>
      <x:c r="N59" s="18" t="str"/>
      <x:c r="O59" s="16"/>
    </x:row>
    <x:row r="60">
      <x:c r="A60" s="15" t="str">
        <x:v>T056</x:v>
      </x:c>
      <x:c r="B60" s="15" t="str">
        <x:v>マスター</x:v>
      </x:c>
      <x:c r="C60" s="15" t="str">
        <x:v>仕上げ</x:v>
      </x:c>
      <x:c r="D60" s="15" t="str">
        <x:v>最終ビルド・操作説明・不具合修正</x:v>
      </x:c>
      <x:c r="E60" s="15" t="str">
        <x:v>S</x:v>
      </x:c>
      <x:c r="F60" s="15" t="str">
        <x:v>計画追加</x:v>
      </x:c>
      <x:c r="G60" s="16" t="n">
        <x:v>0</x:v>
      </x:c>
      <x:c r="H60" s="16" t="n">
        <x:v>8</x:v>
      </x:c>
      <x:c r="I60" s="17" t="n">
        <x:f>G60+H60</x:f>
        <x:v>8</x:v>
      </x:c>
      <x:c r="J60" s="16" t="n">
        <x:v>8</x:v>
      </x:c>
      <x:c r="K60" s="17" t="n">
        <x:f>J60/サマリー!$B$9</x:f>
        <x:v>1</x:v>
      </x:c>
      <x:c r="L60" s="17" t="n">
        <x:f>K60*サマリー!$B$10</x:f>
        <x:v>8</x:v>
      </x:c>
      <x:c r="M60" s="18" t="str">
        <x:v>元表に独立項目なし</x:v>
      </x:c>
      <x:c r="N60" s="18" t="str">
        <x:v>配布ビルドで主要操作とシーン遷移を確認</x:v>
      </x:c>
      <x:c r="O60" s="16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</x:row>
  </x:sheetData>
  <x:conditionalFormatting sqref="J5:J60">
    <x:cfRule type="cellIs" dxfId="0" priority="1" operator="greaterThan">
      <x:formula>0</x:formula>
    </x:cfRule>
  </x:conditionalFormatting>
  <x:dataValidations count="1">
    <x:dataValidation type="list" sqref="F5:F60">
      <x:formula1>"未着手,一部実装,コードあり・要確認,進行中,完了,計画追加"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fbe16736ab4fdb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76" hidden="0" customWidth="1"/>
    <x:col min="4" max="4" width="62" hidden="0" customWidth="1"/>
  </x:cols>
  <x:sheetData>
    <x:row r="1">
      <x:c r="A1" s="2" t="str">
        <x:v>マイルストーン</x:v>
      </x:c>
      <x:c r="B1" s="2"/>
      <x:c r="C1" s="2"/>
      <x:c r="D1" s="2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</x:row>
    <x:row r="3">
      <x:c r="A3" s="20" t="str">
        <x:v>段階</x:v>
      </x:c>
      <x:c r="B3" s="20" t="str">
        <x:v>締切日</x:v>
      </x:c>
      <x:c r="C3" s="20" t="str">
        <x:v>到達目標</x:v>
      </x:c>
      <x:c r="D3" s="20" t="str">
        <x:v>確認メモ</x:v>
      </x:c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</x:row>
    <x:row r="4">
      <x:c r="A4" s="1" t="str">
        <x:v>プロト</x:v>
      </x:c>
      <x:c r="B4" s="22" t="d">
        <x:v>2026-11-13T00:00:00.000Z</x:v>
      </x:c>
      <x:c r="C4" s="1" t="str">
        <x:v>ゲームシーンで移動・射撃・敵1体・ハッキング・仮ステージを一通り遊べる</x:v>
      </x:c>
      <x:c r="D4" s="1" t="str">
        <x:v>参考ブックの日付。旧表カレンダーと異なるため再確認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>
      <x:c r="A5" s="1" t="str">
        <x:v>アルファ</x:v>
      </x:c>
      <x:c r="B5" s="22" t="d">
        <x:v>2026-12-18T00:00:00.000Z</x:v>
      </x:c>
      <x:c r="C5" s="1" t="str">
        <x:v>敵・ハッキング・ステージを増やし、ゲームシーン外の流れを追加</x:v>
      </x:c>
      <x:c r="D5" s="1" t="str">
        <x:v>見た目の磨き込みは後段へ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>
      <x:c r="A6" s="1" t="str">
        <x:v>ベータ</x:v>
      </x:c>
      <x:c r="B6" s="22" t="d">
        <x:v>2027-01-22T00:00:00.000Z</x:v>
      </x:c>
      <x:c r="C6" s="1" t="str">
        <x:v>見た目・レベルデザイン・難易度を調整</x:v>
      </x:c>
      <x:c r="D6" s="1" t="str">
        <x:v>通しプレイと不具合修正を継続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</x:row>
    <x:row r="7">
      <x:c r="A7" s="1" t="str">
        <x:v>マスター</x:v>
      </x:c>
      <x:c r="B7" s="22" t="d">
        <x:v>2027-02-12T00:00:00.000Z</x:v>
      </x:c>
      <x:c r="C7" s="1" t="str">
        <x:v>最終調整・配布可能な状態</x:v>
      </x:c>
      <x:c r="D7" s="1" t="str">
        <x:v>最終ビルドと操作説明を確認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</x:row>
    <x:row r="9">
      <x:c r="A9" s="3" t="str">
        <x:v>日付と到達目標は「コスト表_winter_2026.xlsx」から引継ぎ。旧表カレンダーの日程と異なるため、優先する日程を確認してください。</x:v>
      </x:c>
      <x:c r="B9" s="3"/>
      <x:c r="C9" s="3"/>
      <x:c r="D9" s="3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</x:row>
  </x:sheetData>
  <x:pageMargins left="0.7" right="0.7" top="0.75" bottom="0.75" header="0.3" footer="0.3"/>
</x:worksheet>
</file>