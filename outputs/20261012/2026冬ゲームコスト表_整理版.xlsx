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WinterGame_2026\outputs\20261012\"/>
    </mc:Choice>
  </mc:AlternateContent>
  <xr:revisionPtr revIDLastSave="0" documentId="13_ncr:1_{EFB1C16E-507D-49AE-86EA-3BBA5F065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サマリー" sheetId="1" r:id="rId1"/>
    <sheet name="タスク" sheetId="2" r:id="rId2"/>
    <sheet name="マイルストーン" sheetId="3" r:id="rId3"/>
    <sheet name="カレンダ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K9" i="4"/>
  <c r="K10" i="4"/>
  <c r="K12" i="4"/>
  <c r="K60" i="2"/>
  <c r="L60" i="2" s="1"/>
  <c r="I60" i="2"/>
  <c r="K59" i="2"/>
  <c r="L59" i="2" s="1"/>
  <c r="I59" i="2"/>
  <c r="K58" i="2"/>
  <c r="L58" i="2" s="1"/>
  <c r="I58" i="2"/>
  <c r="K57" i="2"/>
  <c r="L57" i="2" s="1"/>
  <c r="I57" i="2"/>
  <c r="K56" i="2"/>
  <c r="L56" i="2" s="1"/>
  <c r="I56" i="2"/>
  <c r="K55" i="2"/>
  <c r="L55" i="2" s="1"/>
  <c r="I55" i="2"/>
  <c r="K54" i="2"/>
  <c r="L54" i="2" s="1"/>
  <c r="I54" i="2"/>
  <c r="K53" i="2"/>
  <c r="L53" i="2" s="1"/>
  <c r="I53" i="2"/>
  <c r="K52" i="2"/>
  <c r="L52" i="2" s="1"/>
  <c r="I52" i="2"/>
  <c r="K51" i="2"/>
  <c r="L51" i="2" s="1"/>
  <c r="I51" i="2"/>
  <c r="K50" i="2"/>
  <c r="L50" i="2" s="1"/>
  <c r="I50" i="2"/>
  <c r="K49" i="2"/>
  <c r="L49" i="2" s="1"/>
  <c r="I49" i="2"/>
  <c r="K48" i="2"/>
  <c r="L48" i="2" s="1"/>
  <c r="I48" i="2"/>
  <c r="K47" i="2"/>
  <c r="L47" i="2" s="1"/>
  <c r="I47" i="2"/>
  <c r="K46" i="2"/>
  <c r="L46" i="2" s="1"/>
  <c r="I46" i="2"/>
  <c r="K45" i="2"/>
  <c r="L45" i="2" s="1"/>
  <c r="I45" i="2"/>
  <c r="K44" i="2"/>
  <c r="L44" i="2" s="1"/>
  <c r="I44" i="2"/>
  <c r="K43" i="2"/>
  <c r="L43" i="2" s="1"/>
  <c r="I43" i="2"/>
  <c r="K42" i="2"/>
  <c r="L42" i="2" s="1"/>
  <c r="I42" i="2"/>
  <c r="K41" i="2"/>
  <c r="L41" i="2" s="1"/>
  <c r="I41" i="2"/>
  <c r="K40" i="2"/>
  <c r="L40" i="2" s="1"/>
  <c r="I40" i="2"/>
  <c r="K39" i="2"/>
  <c r="L39" i="2" s="1"/>
  <c r="I39" i="2"/>
  <c r="K38" i="2"/>
  <c r="L38" i="2" s="1"/>
  <c r="I38" i="2"/>
  <c r="K37" i="2"/>
  <c r="L37" i="2" s="1"/>
  <c r="I37" i="2"/>
  <c r="K36" i="2"/>
  <c r="L36" i="2" s="1"/>
  <c r="I36" i="2"/>
  <c r="K35" i="2"/>
  <c r="L35" i="2" s="1"/>
  <c r="I35" i="2"/>
  <c r="K34" i="2"/>
  <c r="L34" i="2" s="1"/>
  <c r="I34" i="2"/>
  <c r="K33" i="2"/>
  <c r="L33" i="2" s="1"/>
  <c r="I33" i="2"/>
  <c r="K32" i="2"/>
  <c r="L32" i="2" s="1"/>
  <c r="I32" i="2"/>
  <c r="K31" i="2"/>
  <c r="L31" i="2" s="1"/>
  <c r="I31" i="2"/>
  <c r="K30" i="2"/>
  <c r="L30" i="2" s="1"/>
  <c r="I30" i="2"/>
  <c r="K29" i="2"/>
  <c r="L29" i="2" s="1"/>
  <c r="I29" i="2"/>
  <c r="K28" i="2"/>
  <c r="L28" i="2" s="1"/>
  <c r="I28" i="2"/>
  <c r="L27" i="2"/>
  <c r="K27" i="2"/>
  <c r="I27" i="2"/>
  <c r="K26" i="2"/>
  <c r="L26" i="2" s="1"/>
  <c r="I26" i="2"/>
  <c r="K25" i="2"/>
  <c r="L25" i="2" s="1"/>
  <c r="I25" i="2"/>
  <c r="K24" i="2"/>
  <c r="L24" i="2" s="1"/>
  <c r="I24" i="2"/>
  <c r="K23" i="2"/>
  <c r="L23" i="2" s="1"/>
  <c r="I23" i="2"/>
  <c r="K22" i="2"/>
  <c r="L22" i="2" s="1"/>
  <c r="I22" i="2"/>
  <c r="K21" i="2"/>
  <c r="L21" i="2" s="1"/>
  <c r="I21" i="2"/>
  <c r="K20" i="2"/>
  <c r="L20" i="2" s="1"/>
  <c r="I20" i="2"/>
  <c r="K19" i="2"/>
  <c r="L19" i="2" s="1"/>
  <c r="I19" i="2"/>
  <c r="K18" i="2"/>
  <c r="L18" i="2" s="1"/>
  <c r="I18" i="2"/>
  <c r="K17" i="2"/>
  <c r="L17" i="2" s="1"/>
  <c r="I17" i="2"/>
  <c r="K16" i="2"/>
  <c r="L16" i="2" s="1"/>
  <c r="I16" i="2"/>
  <c r="K15" i="2"/>
  <c r="L15" i="2" s="1"/>
  <c r="I15" i="2"/>
  <c r="K14" i="2"/>
  <c r="L14" i="2" s="1"/>
  <c r="I14" i="2"/>
  <c r="K13" i="2"/>
  <c r="L13" i="2" s="1"/>
  <c r="I13" i="2"/>
  <c r="K12" i="2"/>
  <c r="L12" i="2" s="1"/>
  <c r="I12" i="2"/>
  <c r="K11" i="2"/>
  <c r="L11" i="2" s="1"/>
  <c r="I11" i="2"/>
  <c r="K10" i="2"/>
  <c r="L10" i="2" s="1"/>
  <c r="I10" i="2"/>
  <c r="K9" i="2"/>
  <c r="L9" i="2" s="1"/>
  <c r="I9" i="2"/>
  <c r="K8" i="2"/>
  <c r="L8" i="2" s="1"/>
  <c r="I8" i="2"/>
  <c r="K7" i="2"/>
  <c r="L7" i="2" s="1"/>
  <c r="I7" i="2"/>
  <c r="K6" i="2"/>
  <c r="L6" i="2" s="1"/>
  <c r="I6" i="2"/>
  <c r="K5" i="2"/>
  <c r="L5" i="2" s="1"/>
  <c r="I5" i="2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L22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D17" i="1"/>
  <c r="C17" i="1"/>
  <c r="B17" i="1"/>
  <c r="I16" i="1"/>
  <c r="H16" i="1"/>
  <c r="G16" i="1"/>
  <c r="D16" i="1"/>
  <c r="C16" i="1"/>
  <c r="B16" i="1"/>
  <c r="I15" i="1"/>
  <c r="H15" i="1"/>
  <c r="G15" i="1"/>
  <c r="D15" i="1"/>
  <c r="C15" i="1"/>
  <c r="B15" i="1"/>
  <c r="I14" i="1"/>
  <c r="H14" i="1"/>
  <c r="G14" i="1"/>
  <c r="D14" i="1"/>
  <c r="C14" i="1"/>
  <c r="B14" i="1"/>
  <c r="B12" i="1"/>
  <c r="B11" i="1"/>
  <c r="D5" i="1"/>
  <c r="G5" i="1" s="1"/>
  <c r="K5" i="1" s="1"/>
  <c r="A5" i="1"/>
</calcChain>
</file>

<file path=xl/sharedStrings.xml><?xml version="1.0" encoding="utf-8"?>
<sst xmlns="http://schemas.openxmlformats.org/spreadsheetml/2006/main" count="504" uniqueCount="253">
  <si>
    <t>2026 冬ゲーム｜コスト・工数計画</t>
  </si>
  <si>
    <t>元コスト表を整理し、現在のソースコードから確認できた作業と追加見積を反映した計画版</t>
  </si>
  <si>
    <t>更新後見積（時間）</t>
  </si>
  <si>
    <t>残見積（時間）</t>
  </si>
  <si>
    <t>残見積（人日）</t>
  </si>
  <si>
    <t>残コスト（換算）</t>
  </si>
  <si>
    <t>前提</t>
  </si>
  <si>
    <t>値</t>
  </si>
  <si>
    <t>見積単位</t>
  </si>
  <si>
    <t>時間</t>
  </si>
  <si>
    <t>1人日の作業時間</t>
  </si>
  <si>
    <t>換算単価（コスト/人日）</t>
  </si>
  <si>
    <t>1時間あたりの換算コスト</t>
  </si>
  <si>
    <t>元表の見積合計（時間）</t>
  </si>
  <si>
    <t>段階</t>
  </si>
  <si>
    <t>見積(h)</t>
  </si>
  <si>
    <t>残見積(h)</t>
  </si>
  <si>
    <t>タスク数</t>
  </si>
  <si>
    <t>カテゴリ</t>
  </si>
  <si>
    <t>進捗の見方</t>
  </si>
  <si>
    <t>説明</t>
  </si>
  <si>
    <t>プロト</t>
  </si>
  <si>
    <t>当たり判定</t>
  </si>
  <si>
    <t>コードあり・要確認</t>
  </si>
  <si>
    <t>ソースで実装箇所を確認。起動・プレイ検証は未実施</t>
  </si>
  <si>
    <t>アルファ</t>
  </si>
  <si>
    <t>プレイヤー</t>
  </si>
  <si>
    <t>一部実装</t>
  </si>
  <si>
    <t>基盤は確認したが統合・調整・仕様不足がある</t>
  </si>
  <si>
    <t>ベータ</t>
  </si>
  <si>
    <t>カメラ</t>
  </si>
  <si>
    <t>未着手</t>
  </si>
  <si>
    <t>元表の項目。現コード一覧で実装を確認できず</t>
  </si>
  <si>
    <t>マスター</t>
  </si>
  <si>
    <t>ハッキング</t>
  </si>
  <si>
    <t>計画追加</t>
  </si>
  <si>
    <t>元表に分かれていなかった統合・検証・仕上げ作業</t>
  </si>
  <si>
    <t>敵</t>
  </si>
  <si>
    <t>ステージ</t>
  </si>
  <si>
    <t>注記</t>
  </si>
  <si>
    <t>システム</t>
  </si>
  <si>
    <t>見積</t>
  </si>
  <si>
    <t>元表212h＋追加105h。残見積はコード目視の暫定値。</t>
  </si>
  <si>
    <t>素材</t>
  </si>
  <si>
    <t>実績</t>
  </si>
  <si>
    <t>動作検証は未反映。実コストはタスクシートへ入力。</t>
  </si>
  <si>
    <t>演出</t>
  </si>
  <si>
    <t>実コスト合計</t>
  </si>
  <si>
    <t>シーン</t>
  </si>
  <si>
    <t>射撃</t>
  </si>
  <si>
    <t>UI</t>
  </si>
  <si>
    <t>テスト</t>
  </si>
  <si>
    <t>仕上げ</t>
  </si>
  <si>
    <t>作業一覧</t>
  </si>
  <si>
    <t>元見積は旧表の「1コスト＝1時間」を引継ぎ。追加分はコード上で分離されていなかった作業。残見積はコード目視確認に基づく暫定値で、実績ではありません。</t>
  </si>
  <si>
    <t>ID</t>
  </si>
  <si>
    <t>作業項目</t>
  </si>
  <si>
    <t>優先度</t>
  </si>
  <si>
    <t>進捗状況</t>
  </si>
  <si>
    <t>元見積(h)</t>
  </si>
  <si>
    <t>追加見積(h)</t>
  </si>
  <si>
    <t>更新見積(h)</t>
  </si>
  <si>
    <t>人日</t>
  </si>
  <si>
    <t>換算コスト</t>
  </si>
  <si>
    <t>根拠（コード確認）</t>
  </si>
  <si>
    <t>メモ</t>
  </si>
  <si>
    <t>実コスト</t>
  </si>
  <si>
    <t>T001</t>
  </si>
  <si>
    <t>CollisionManagerの管理・接触結果整理</t>
  </si>
  <si>
    <t>S</t>
  </si>
  <si>
    <t>CollisionManager.cpp/hあり。判定結果と押し戻しの整理余地</t>
  </si>
  <si>
    <t>T002</t>
  </si>
  <si>
    <t>球コライダー判定</t>
  </si>
  <si>
    <t>SphereCollider.cpp/hあり</t>
  </si>
  <si>
    <t>T003</t>
  </si>
  <si>
    <t>カプセルコライダー判定</t>
  </si>
  <si>
    <t>CapsuleCollider.cpp/h、カプセル判定関数あり</t>
  </si>
  <si>
    <t>T004</t>
  </si>
  <si>
    <t>ポリゴンコライダー判定</t>
  </si>
  <si>
    <t>PolygonCollider.cpp/hあり。押し戻し・床壁分類との統合確認</t>
  </si>
  <si>
    <t>T005</t>
  </si>
  <si>
    <t>移動</t>
  </si>
  <si>
    <t>Playerと移動Stateあり</t>
  </si>
  <si>
    <t>T006</t>
  </si>
  <si>
    <t>ジャンプ</t>
  </si>
  <si>
    <t>PlayerStateJumpあり</t>
  </si>
  <si>
    <t>T007</t>
  </si>
  <si>
    <t>ホバー</t>
  </si>
  <si>
    <t>B</t>
  </si>
  <si>
    <t>PlayerStateHoverあり</t>
  </si>
  <si>
    <t>T008</t>
  </si>
  <si>
    <t>回避・ダッシュ</t>
  </si>
  <si>
    <t>Playerの状態・Physics実装を動作確認</t>
  </si>
  <si>
    <t>T009</t>
  </si>
  <si>
    <t>エイム</t>
  </si>
  <si>
    <t>Playerの照準レイ・カメラ参照あり。操作感と座標系確認</t>
  </si>
  <si>
    <t>T010</t>
  </si>
  <si>
    <t>PlayerのRayCastと銃モデル描画あり。被弾通知・ダメージ連携を追加</t>
  </si>
  <si>
    <t>T011</t>
  </si>
  <si>
    <t>必殺技</t>
  </si>
  <si>
    <t>元表の項目。仕様未確定</t>
  </si>
  <si>
    <t>T012</t>
  </si>
  <si>
    <t>通常カメラ</t>
  </si>
  <si>
    <t>Camera.cpp/hあり</t>
  </si>
  <si>
    <t>T013</t>
  </si>
  <si>
    <t>エイムカメラ</t>
  </si>
  <si>
    <t>照準時の視点処理をPlayerと統合確認</t>
  </si>
  <si>
    <t>T014</t>
  </si>
  <si>
    <t>盤面生成とデータ調整</t>
  </si>
  <si>
    <t>HackingManager/Hackableあり。盤面の外部データ化・調整性が残る</t>
  </si>
  <si>
    <t>T015</t>
  </si>
  <si>
    <t>盤面移動と経路制約</t>
  </si>
  <si>
    <t>Hackableの移動処理あり。全マス条件を検証</t>
  </si>
  <si>
    <t>T016</t>
  </si>
  <si>
    <t>成功・失敗の発動</t>
  </si>
  <si>
    <t>HackingManager/Hackableあり。敵状態・リセット連携を要確認</t>
  </si>
  <si>
    <t>T017</t>
  </si>
  <si>
    <t>ハッキング特殊効果</t>
  </si>
  <si>
    <t>黄色マス等。銃強化・伝播・停止などを追加</t>
  </si>
  <si>
    <t>T018</t>
  </si>
  <si>
    <t>敵ベース</t>
  </si>
  <si>
    <t>EnemyBase、Hitbox、Hackable、EnemyHPUIあり</t>
  </si>
  <si>
    <t>T019</t>
  </si>
  <si>
    <t>雑魚敵1（テスト敵）</t>
  </si>
  <si>
    <t>TestEnemy.cpp/hあり</t>
  </si>
  <si>
    <t>T020</t>
  </si>
  <si>
    <t>雑魚敵2（Walker）</t>
  </si>
  <si>
    <t>WalkerとOrbit/Approach状態、モデルあり。調整・動作確認が残る</t>
  </si>
  <si>
    <t>T021</t>
  </si>
  <si>
    <t>雑魚敵3</t>
  </si>
  <si>
    <t>A</t>
  </si>
  <si>
    <t>元表の追加敵</t>
  </si>
  <si>
    <t>T022</t>
  </si>
  <si>
    <t>ボス1</t>
  </si>
  <si>
    <t>元表の項目</t>
  </si>
  <si>
    <t>T023</t>
  </si>
  <si>
    <t>ボス2</t>
  </si>
  <si>
    <t>T024</t>
  </si>
  <si>
    <t>ボス3</t>
  </si>
  <si>
    <t>T025</t>
  </si>
  <si>
    <t>ステージ1（仮レイアウト）</t>
  </si>
  <si>
    <t>StaticStageあり。プレイ可能区画・導線・配置が必要</t>
  </si>
  <si>
    <t>T026</t>
  </si>
  <si>
    <t>ステージ2</t>
  </si>
  <si>
    <t>T027</t>
  </si>
  <si>
    <t>ステージ3</t>
  </si>
  <si>
    <t>T028</t>
  </si>
  <si>
    <t>アニメーション基盤・ブレンド</t>
  </si>
  <si>
    <t>Animator/AnimationLayerあり。遷移と見た目を確認</t>
  </si>
  <si>
    <t>T029</t>
  </si>
  <si>
    <t>クラス設計・基盤整理</t>
  </si>
  <si>
    <t>GameObject/Component/StateMachine等の基盤あり。責務整理</t>
  </si>
  <si>
    <t>T030</t>
  </si>
  <si>
    <t>モデル</t>
  </si>
  <si>
    <t>Player/Gun/Walkerモデル参照あり。配置・スケール確認</t>
  </si>
  <si>
    <t>T031</t>
  </si>
  <si>
    <t>アニメーション素材</t>
  </si>
  <si>
    <t>Animator基盤あり。必要なアニメーション組み込み</t>
  </si>
  <si>
    <t>T032</t>
  </si>
  <si>
    <t>画像・テクスチャ</t>
  </si>
  <si>
    <t>Walker素材/テクスチャあり。ゲーム用調整と反映確認</t>
  </si>
  <si>
    <t>T033</t>
  </si>
  <si>
    <t>音素材</t>
  </si>
  <si>
    <t>T034</t>
  </si>
  <si>
    <t>エフェクトマネージャー</t>
  </si>
  <si>
    <t>T035</t>
  </si>
  <si>
    <t>エフェクト実装</t>
  </si>
  <si>
    <t>命中・ハッキング・被弾など</t>
  </si>
  <si>
    <t>T036</t>
  </si>
  <si>
    <t>サウンドマネージャー</t>
  </si>
  <si>
    <t>T037</t>
  </si>
  <si>
    <t>サウンド実装</t>
  </si>
  <si>
    <t>T038</t>
  </si>
  <si>
    <t>シーンマネージャー</t>
  </si>
  <si>
    <t>SceneManagerあり</t>
  </si>
  <si>
    <t>T039</t>
  </si>
  <si>
    <t>ゲームシーン</t>
  </si>
  <si>
    <t>SceneMainあり。ゲームループとプレイ条件を確認</t>
  </si>
  <si>
    <t>T040</t>
  </si>
  <si>
    <t>タイトル</t>
  </si>
  <si>
    <t>T041</t>
  </si>
  <si>
    <t>クリア</t>
  </si>
  <si>
    <t>T042</t>
  </si>
  <si>
    <t>ゲームオーバー</t>
  </si>
  <si>
    <t>T043</t>
  </si>
  <si>
    <t>ステージセレクト</t>
  </si>
  <si>
    <t>T044</t>
  </si>
  <si>
    <t>ポーズ</t>
  </si>
  <si>
    <t>T045</t>
  </si>
  <si>
    <t>オプション</t>
  </si>
  <si>
    <t>T046</t>
  </si>
  <si>
    <t>カプセル対カプセル・線分の接触点/法線検証</t>
  </si>
  <si>
    <t>MyLibの線分判定、CollisionManagerのRayCastを確認</t>
  </si>
  <si>
    <t>端点・平行・退化ケースを確認</t>
  </si>
  <si>
    <t>T047</t>
  </si>
  <si>
    <t>床接地・坂道追従・押し戻しの安定化</t>
  </si>
  <si>
    <t>Physics.cppとPolygonColliderあり</t>
  </si>
  <si>
    <t>坂、壁際、段差、連続接触を検証</t>
  </si>
  <si>
    <t>T048</t>
  </si>
  <si>
    <t>被弾対象コンポーネントと命中通知</t>
  </si>
  <si>
    <t>Hitboxはあるが射撃対象登録/ダメージ通知一式は独立項目なし</t>
  </si>
  <si>
    <t>T049</t>
  </si>
  <si>
    <t>HP・被ダメージ・撃破とUI連携</t>
  </si>
  <si>
    <t>EnemyHPUI/Hitboxあり。射撃・ハッキングとの接続</t>
  </si>
  <si>
    <t>T050</t>
  </si>
  <si>
    <t>弱体化時間・青/黄色マス効果の統合</t>
  </si>
  <si>
    <t>仕様メモとHackableあり。効果時間・重複・解除を決める</t>
  </si>
  <si>
    <t>T051</t>
  </si>
  <si>
    <t>Walkerの攻撃・被弾・アニメーション統合</t>
  </si>
  <si>
    <t>Walkerの状態クラスとモデルあり。戦闘ループを完成</t>
  </si>
  <si>
    <t>T052</t>
  </si>
  <si>
    <t>ステージ1の衝突ブロックアウト・進行確認</t>
  </si>
  <si>
    <t>StaticStageに移動・射撃・ハッキング可能な導線を追加</t>
  </si>
  <si>
    <t>T053</t>
  </si>
  <si>
    <t>HP・照準・ハッキング状態のHUD統合</t>
  </si>
  <si>
    <t>UIManager/EnemyHPUI/HackingTargetUIあり。Player HUDを追加</t>
  </si>
  <si>
    <t>T054</t>
  </si>
  <si>
    <t>戦闘・ハッキング・ステージの通し調整</t>
  </si>
  <si>
    <t>結合時の難易度・操作性・不具合修正</t>
  </si>
  <si>
    <t>T055</t>
  </si>
  <si>
    <t>Walker装甲テクスチャと見た目反映</t>
  </si>
  <si>
    <t>装甲展開・水色強調の見た目をゲーム素材へ反映</t>
  </si>
  <si>
    <t>T056</t>
  </si>
  <si>
    <t>最終ビルド・操作説明・不具合修正</t>
  </si>
  <si>
    <t>元表に独立項目なし</t>
  </si>
  <si>
    <t>配布ビルドで主要操作とシーン遷移を確認</t>
  </si>
  <si>
    <t>マイルストーン</t>
  </si>
  <si>
    <t>締切日</t>
  </si>
  <si>
    <t>到達目標</t>
  </si>
  <si>
    <t>確認メモ</t>
  </si>
  <si>
    <t>ゲームシーンで移動・射撃・敵1体・ハッキング・仮ステージを一通り遊べる</t>
  </si>
  <si>
    <t>参考ブックの日付。旧表カレンダーと異なるため再確認</t>
  </si>
  <si>
    <t>敵・ハッキング・ステージを増やし、ゲームシーン外の流れを追加</t>
  </si>
  <si>
    <t>見た目の磨き込みは後段へ</t>
  </si>
  <si>
    <t>見た目・レベルデザイン・難易度を調整</t>
  </si>
  <si>
    <t>通しプレイと不具合修正を継続</t>
  </si>
  <si>
    <t>最終調整・配布可能な状態</t>
  </si>
  <si>
    <t>最終ビルドと操作説明を確認</t>
  </si>
  <si>
    <t>日付と到達目標は「コスト表_winter_2026.xlsx」から引継ぎ。旧表カレンダーの日程と異なるため、優先する日程を確認してください。</t>
  </si>
  <si>
    <t>12月</t>
    <rPh sb="2" eb="3">
      <t>ガツ</t>
    </rPh>
    <phoneticPr fontId="12"/>
  </si>
  <si>
    <t>11月</t>
    <rPh sb="2" eb="3">
      <t>ガツ</t>
    </rPh>
    <phoneticPr fontId="12"/>
  </si>
  <si>
    <t>ベータ</t>
    <phoneticPr fontId="12"/>
  </si>
  <si>
    <t>アルファ</t>
    <phoneticPr fontId="12"/>
  </si>
  <si>
    <t>プロト</t>
    <phoneticPr fontId="12"/>
  </si>
  <si>
    <t>残り日数</t>
    <rPh sb="0" eb="1">
      <t>ノコ</t>
    </rPh>
    <rPh sb="2" eb="4">
      <t>ニッスウ</t>
    </rPh>
    <phoneticPr fontId="12"/>
  </si>
  <si>
    <t>10月</t>
    <rPh sb="2" eb="3">
      <t>ガツ</t>
    </rPh>
    <phoneticPr fontId="12"/>
  </si>
  <si>
    <t>締め切り</t>
    <rPh sb="0" eb="1">
      <t>シ</t>
    </rPh>
    <rPh sb="2" eb="3">
      <t>キ</t>
    </rPh>
    <phoneticPr fontId="12"/>
  </si>
  <si>
    <t>細かいところを調整。見た目とか難易度とか</t>
    <rPh sb="0" eb="1">
      <t>コマ</t>
    </rPh>
    <rPh sb="7" eb="9">
      <t>チョウセイ</t>
    </rPh>
    <rPh sb="10" eb="11">
      <t>ミ</t>
    </rPh>
    <rPh sb="12" eb="13">
      <t>メ</t>
    </rPh>
    <rPh sb="15" eb="18">
      <t>ナンイド</t>
    </rPh>
    <phoneticPr fontId="12"/>
  </si>
  <si>
    <t>マスター</t>
    <phoneticPr fontId="12"/>
  </si>
  <si>
    <t>見た目を良くしていく。同時にレベルデザインやその他の改良なども行う。</t>
    <rPh sb="0" eb="1">
      <t>ミ</t>
    </rPh>
    <rPh sb="2" eb="3">
      <t>メ</t>
    </rPh>
    <rPh sb="4" eb="5">
      <t>ヨ</t>
    </rPh>
    <rPh sb="11" eb="13">
      <t>ドウジ</t>
    </rPh>
    <rPh sb="24" eb="25">
      <t>タ</t>
    </rPh>
    <rPh sb="26" eb="28">
      <t>カイリョウ</t>
    </rPh>
    <rPh sb="31" eb="32">
      <t>オコナ</t>
    </rPh>
    <phoneticPr fontId="12"/>
  </si>
  <si>
    <t>要素を増やしていく。ゲームシーン以外を実装(見た目は後)、ハッキングの黄色マス追加、敵追加、ステージ追加、改良</t>
    <rPh sb="0" eb="2">
      <t>ヨウソ</t>
    </rPh>
    <rPh sb="3" eb="4">
      <t>フ</t>
    </rPh>
    <rPh sb="16" eb="18">
      <t>イガイ</t>
    </rPh>
    <rPh sb="19" eb="21">
      <t>ジッソウ</t>
    </rPh>
    <rPh sb="22" eb="23">
      <t>ミ</t>
    </rPh>
    <rPh sb="24" eb="25">
      <t>メ</t>
    </rPh>
    <rPh sb="26" eb="27">
      <t>アト</t>
    </rPh>
    <rPh sb="35" eb="37">
      <t>キイロ</t>
    </rPh>
    <rPh sb="39" eb="41">
      <t>ツイカ</t>
    </rPh>
    <rPh sb="42" eb="45">
      <t>テキツイカ</t>
    </rPh>
    <rPh sb="50" eb="52">
      <t>ツイカ</t>
    </rPh>
    <rPh sb="53" eb="55">
      <t>カイリョウ</t>
    </rPh>
    <phoneticPr fontId="12"/>
  </si>
  <si>
    <t>ゲームシーンだけでも遊べるように。プレイヤー、敵一体、ハッキング(黄色マス以外)、ステージ(仮)を実装する</t>
    <rPh sb="10" eb="11">
      <t>アソ</t>
    </rPh>
    <rPh sb="23" eb="26">
      <t>テキイッタイ</t>
    </rPh>
    <rPh sb="33" eb="35">
      <t>キイロ</t>
    </rPh>
    <rPh sb="37" eb="39">
      <t>イガイ</t>
    </rPh>
    <rPh sb="46" eb="47">
      <t>カリ</t>
    </rPh>
    <rPh sb="49" eb="51">
      <t>ジッソウ</t>
    </rPh>
    <phoneticPr fontId="12"/>
  </si>
  <si>
    <t>9月</t>
    <rPh sb="1" eb="2">
      <t>ガツ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</si>
</sst>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/mm/dd"/>
  </numFmts>
  <fonts count="13">
    <font>
      <sz val="11"/>
      <name val="Carlito"/>
    </font>
    <font>
      <sz val="11"/>
      <color theme="1"/>
      <name val="Calibri"/>
      <family val="2"/>
      <charset val="128"/>
      <scheme val="minor"/>
    </font>
    <font>
      <sz val="10"/>
      <color rgb="FF243247"/>
      <name val="Arial"/>
      <family val="2"/>
    </font>
    <font>
      <b/>
      <sz val="15"/>
      <color rgb="FF16324F"/>
      <name val="Arial"/>
      <family val="2"/>
    </font>
    <font>
      <i/>
      <sz val="9"/>
      <color rgb="FF596579"/>
      <name val="Arial"/>
      <family val="2"/>
    </font>
    <font>
      <b/>
      <sz val="10"/>
      <color rgb="FFFFFFFF"/>
      <name val="Arial"/>
      <family val="2"/>
    </font>
    <font>
      <sz val="9"/>
      <color rgb="FF43546A"/>
      <name val="Arial"/>
      <family val="2"/>
    </font>
    <font>
      <b/>
      <sz val="16"/>
      <color rgb="FF16324F"/>
      <name val="Arial"/>
      <family val="2"/>
    </font>
    <font>
      <b/>
      <sz val="10"/>
      <color rgb="FF596579"/>
      <name val="Arial"/>
      <family val="2"/>
    </font>
    <font>
      <b/>
      <sz val="14"/>
      <color rgb="FF16324F"/>
      <name val="Arial"/>
      <family val="2"/>
    </font>
    <font>
      <sz val="11"/>
      <name val="Carlito"/>
    </font>
    <font>
      <sz val="6"/>
      <name val="ＭＳ Ｐゴシック"/>
      <family val="3"/>
      <charset val="128"/>
    </font>
    <font>
      <sz val="6"/>
      <name val="Calibri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56E"/>
      </patternFill>
    </fill>
    <fill>
      <patternFill patternType="solid">
        <fgColor rgb="FFFFF2CC"/>
      </patternFill>
    </fill>
    <fill>
      <patternFill patternType="solid">
        <fgColor rgb="FFE9EFF7"/>
      </patternFill>
    </fill>
    <fill>
      <patternFill patternType="solid">
        <fgColor rgb="FFEAF0F6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76" fontId="2" fillId="3" borderId="0" xfId="1" applyNumberFormat="1" applyFont="1" applyFill="1" applyAlignment="1">
      <alignment vertical="center"/>
    </xf>
    <xf numFmtId="176" fontId="2" fillId="4" borderId="0" xfId="1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2" borderId="0" xfId="1" applyFont="1" applyFill="1" applyAlignment="1">
      <alignment horizontal="center" vertical="center"/>
    </xf>
    <xf numFmtId="177" fontId="2" fillId="3" borderId="0" xfId="1" applyNumberFormat="1" applyFont="1" applyFill="1"/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2" fillId="0" borderId="2" xfId="1" applyFont="1" applyBorder="1"/>
    <xf numFmtId="0" fontId="2" fillId="0" borderId="3" xfId="1" applyFont="1" applyBorder="1"/>
    <xf numFmtId="0" fontId="7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0" fontId="2" fillId="3" borderId="0" xfId="1" applyFont="1" applyFill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1" fillId="0" borderId="0" xfId="2">
      <alignment vertical="center"/>
    </xf>
    <xf numFmtId="0" fontId="1" fillId="0" borderId="4" xfId="2" applyBorder="1">
      <alignment vertical="center"/>
    </xf>
    <xf numFmtId="0" fontId="1" fillId="6" borderId="4" xfId="2" applyFill="1" applyBorder="1">
      <alignment vertical="center"/>
    </xf>
    <xf numFmtId="0" fontId="1" fillId="7" borderId="4" xfId="2" applyFill="1" applyBorder="1">
      <alignment vertical="center"/>
    </xf>
    <xf numFmtId="0" fontId="1" fillId="8" borderId="4" xfId="2" applyFill="1" applyBorder="1">
      <alignment vertical="center"/>
    </xf>
    <xf numFmtId="0" fontId="1" fillId="0" borderId="5" xfId="2" applyBorder="1">
      <alignment vertical="center"/>
    </xf>
    <xf numFmtId="0" fontId="1" fillId="9" borderId="4" xfId="2" applyFill="1" applyBorder="1">
      <alignment vertical="center"/>
    </xf>
    <xf numFmtId="0" fontId="1" fillId="10" borderId="4" xfId="2" applyFill="1" applyBorder="1">
      <alignment vertical="center"/>
    </xf>
    <xf numFmtId="0" fontId="1" fillId="6" borderId="0" xfId="2" applyFill="1">
      <alignment vertical="center"/>
    </xf>
    <xf numFmtId="0" fontId="1" fillId="11" borderId="0" xfId="2" applyFill="1">
      <alignment vertical="center"/>
    </xf>
    <xf numFmtId="0" fontId="1" fillId="8" borderId="0" xfId="2" applyFill="1">
      <alignment vertical="center"/>
    </xf>
    <xf numFmtId="0" fontId="1" fillId="9" borderId="0" xfId="2" applyFill="1">
      <alignment vertical="center"/>
    </xf>
    <xf numFmtId="0" fontId="1" fillId="10" borderId="0" xfId="2" applyFill="1">
      <alignment vertical="center"/>
    </xf>
  </cellXfs>
  <cellStyles count="3">
    <cellStyle name="Normal" xfId="1" xr:uid="{00000000-0005-0000-0000-000000000000}"/>
    <cellStyle name="標準" xfId="0" builtinId="0"/>
    <cellStyle name="標準 2" xfId="2" xr:uid="{037B02FD-D2DF-4262-9E1F-E2D6A54EF4A1}"/>
  </cellStyles>
  <dxfs count="1">
    <dxf>
      <font>
        <color rgb="FF9C3B1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Plan" displayName="TaskPlan" ref="A4:O60" totalsRowShown="0">
  <tableColumns count="15">
    <tableColumn id="1" xr3:uid="{00000000-0010-0000-0000-000001000000}" name="ID"/>
    <tableColumn id="2" xr3:uid="{00000000-0010-0000-0000-000002000000}" name="段階"/>
    <tableColumn id="3" xr3:uid="{00000000-0010-0000-0000-000003000000}" name="カテゴリ"/>
    <tableColumn id="4" xr3:uid="{00000000-0010-0000-0000-000004000000}" name="作業項目"/>
    <tableColumn id="5" xr3:uid="{00000000-0010-0000-0000-000005000000}" name="優先度"/>
    <tableColumn id="6" xr3:uid="{00000000-0010-0000-0000-000006000000}" name="進捗状況"/>
    <tableColumn id="7" xr3:uid="{00000000-0010-0000-0000-000007000000}" name="元見積(h)"/>
    <tableColumn id="8" xr3:uid="{00000000-0010-0000-0000-000008000000}" name="追加見積(h)"/>
    <tableColumn id="9" xr3:uid="{00000000-0010-0000-0000-000009000000}" name="更新見積(h)"/>
    <tableColumn id="10" xr3:uid="{00000000-0010-0000-0000-00000A000000}" name="残見積(h)"/>
    <tableColumn id="11" xr3:uid="{00000000-0010-0000-0000-00000B000000}" name="人日"/>
    <tableColumn id="12" xr3:uid="{00000000-0010-0000-0000-00000C000000}" name="換算コスト"/>
    <tableColumn id="13" xr3:uid="{00000000-0010-0000-0000-00000D000000}" name="根拠（コード確認）"/>
    <tableColumn id="14" xr3:uid="{00000000-0010-0000-0000-00000E000000}" name="メモ"/>
    <tableColumn id="15" xr3:uid="{00000000-0010-0000-0000-00000F000000}" name="実コス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24F"/>
  </sheetPr>
  <dimension ref="A1:O120"/>
  <sheetViews>
    <sheetView showGridLines="0" tabSelected="1" workbookViewId="0">
      <pane ySplit="3" topLeftCell="A4" activePane="bottomLeft" state="frozen"/>
      <selection pane="bottomLeft" activeCell="G4" sqref="G4"/>
    </sheetView>
  </sheetViews>
  <sheetFormatPr defaultRowHeight="14.25"/>
  <cols>
    <col min="1" max="1" width="24" customWidth="1"/>
    <col min="2" max="3" width="15" customWidth="1"/>
    <col min="4" max="4" width="12" customWidth="1"/>
    <col min="5" max="5" width="4" customWidth="1"/>
    <col min="6" max="6" width="16" customWidth="1"/>
    <col min="7" max="8" width="14" customWidth="1"/>
    <col min="9" max="9" width="12" customWidth="1"/>
    <col min="10" max="10" width="4" customWidth="1"/>
    <col min="11" max="11" width="25" customWidth="1"/>
    <col min="12" max="12" width="68" customWidth="1"/>
    <col min="13" max="14" width="4" customWidth="1"/>
  </cols>
  <sheetData>
    <row r="1" spans="1:15" ht="2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/>
    </row>
    <row r="2" spans="1: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</row>
    <row r="4" spans="1:15" ht="24" customHeight="1">
      <c r="A4" s="13" t="s">
        <v>2</v>
      </c>
      <c r="B4" s="7"/>
      <c r="C4" s="7"/>
      <c r="D4" s="13" t="s">
        <v>3</v>
      </c>
      <c r="E4" s="7"/>
      <c r="F4" s="7"/>
      <c r="G4" s="13" t="s">
        <v>4</v>
      </c>
      <c r="H4" s="7"/>
      <c r="I4" s="7"/>
      <c r="J4" s="7"/>
      <c r="K4" s="13" t="s">
        <v>5</v>
      </c>
      <c r="L4" s="7"/>
      <c r="M4" s="7"/>
      <c r="N4" s="7"/>
      <c r="O4" s="1"/>
    </row>
    <row r="5" spans="1:15" ht="24" customHeight="1">
      <c r="A5" s="14">
        <f>SUM(タスク!I5:I60)</f>
        <v>317</v>
      </c>
      <c r="B5" s="18"/>
      <c r="C5" s="18"/>
      <c r="D5" s="14">
        <f>SUM(タスク!J5:J60)</f>
        <v>254</v>
      </c>
      <c r="E5" s="18"/>
      <c r="F5" s="18"/>
      <c r="G5" s="14">
        <f>D5/B9</f>
        <v>31.75</v>
      </c>
      <c r="H5" s="18"/>
      <c r="I5" s="18"/>
      <c r="J5" s="18"/>
      <c r="K5" s="14">
        <f>G5*B10</f>
        <v>254</v>
      </c>
      <c r="L5" s="7"/>
      <c r="M5" s="7"/>
      <c r="N5" s="7"/>
      <c r="O5" s="1"/>
    </row>
    <row r="6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"/>
    </row>
    <row r="7" spans="1:15">
      <c r="A7" s="11" t="s">
        <v>6</v>
      </c>
      <c r="B7" s="11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"/>
    </row>
    <row r="8" spans="1:15">
      <c r="A8" s="19" t="s">
        <v>8</v>
      </c>
      <c r="B8" s="19" t="s">
        <v>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</row>
    <row r="9" spans="1:15">
      <c r="A9" s="19" t="s">
        <v>10</v>
      </c>
      <c r="B9" s="19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</row>
    <row r="10" spans="1:15">
      <c r="A10" s="19" t="s">
        <v>11</v>
      </c>
      <c r="B10" s="8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</row>
    <row r="11" spans="1:15">
      <c r="A11" s="19" t="s">
        <v>12</v>
      </c>
      <c r="B11" s="8">
        <f>B10/B9</f>
        <v>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"/>
    </row>
    <row r="12" spans="1:15">
      <c r="A12" s="7" t="s">
        <v>13</v>
      </c>
      <c r="B12" s="7">
        <f>SUM(タスク!G5:G60)</f>
        <v>212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"/>
    </row>
    <row r="13" spans="1:15" ht="20.100000000000001" customHeight="1">
      <c r="A13" s="11" t="s">
        <v>14</v>
      </c>
      <c r="B13" s="11" t="s">
        <v>15</v>
      </c>
      <c r="C13" s="11" t="s">
        <v>16</v>
      </c>
      <c r="D13" s="11" t="s">
        <v>17</v>
      </c>
      <c r="E13" s="7"/>
      <c r="F13" s="11" t="s">
        <v>18</v>
      </c>
      <c r="G13" s="11" t="s">
        <v>15</v>
      </c>
      <c r="H13" s="11" t="s">
        <v>16</v>
      </c>
      <c r="I13" s="11" t="s">
        <v>17</v>
      </c>
      <c r="J13" s="7"/>
      <c r="K13" s="11" t="s">
        <v>19</v>
      </c>
      <c r="L13" s="11" t="s">
        <v>20</v>
      </c>
      <c r="M13" s="7"/>
      <c r="N13" s="7"/>
      <c r="O13" s="1"/>
    </row>
    <row r="14" spans="1:15" ht="20.100000000000001" customHeight="1">
      <c r="A14" s="20" t="s">
        <v>21</v>
      </c>
      <c r="B14" s="20">
        <f>SUMIF(タスク!$B$5:$B$60,A14,タスク!$I$5:$I$60)</f>
        <v>177</v>
      </c>
      <c r="C14" s="20">
        <f>SUMIF(タスク!$B$5:$B$60,A14,タスク!$J$5:$J$60)</f>
        <v>118</v>
      </c>
      <c r="D14" s="20">
        <f>COUNTIF(タスク!$B$5:$B$60,A14)</f>
        <v>31</v>
      </c>
      <c r="E14" s="7"/>
      <c r="F14" s="20" t="s">
        <v>22</v>
      </c>
      <c r="G14" s="20">
        <f>SUMIF(タスク!$C$5:$C$60,F14,タスク!$I$5:$I$60)</f>
        <v>27</v>
      </c>
      <c r="H14" s="20">
        <f>SUMIF(タスク!$C$5:$C$60,F14,タスク!$J$5:$J$60)</f>
        <v>23.5</v>
      </c>
      <c r="I14" s="20">
        <f>COUNTIF(タスク!$C$5:$C$60,F14)</f>
        <v>6</v>
      </c>
      <c r="J14" s="7"/>
      <c r="K14" s="7" t="s">
        <v>23</v>
      </c>
      <c r="L14" s="7" t="s">
        <v>24</v>
      </c>
      <c r="M14" s="7"/>
      <c r="N14" s="7"/>
      <c r="O14" s="1"/>
    </row>
    <row r="15" spans="1:15" ht="20.100000000000001" customHeight="1">
      <c r="A15" s="21" t="s">
        <v>25</v>
      </c>
      <c r="B15" s="21">
        <f>SUMIF(タスク!$B$5:$B$60,A15,タスク!$I$5:$I$60)</f>
        <v>107</v>
      </c>
      <c r="C15" s="21">
        <f>SUMIF(タスク!$B$5:$B$60,A15,タスク!$J$5:$J$60)</f>
        <v>103</v>
      </c>
      <c r="D15" s="21">
        <f>COUNTIF(タスク!$B$5:$B$60,A15)</f>
        <v>20</v>
      </c>
      <c r="E15" s="7"/>
      <c r="F15" s="21" t="s">
        <v>26</v>
      </c>
      <c r="G15" s="21">
        <f>SUMIF(タスク!$C$5:$C$60,F15,タスク!$I$5:$I$60)</f>
        <v>30</v>
      </c>
      <c r="H15" s="21">
        <f>SUMIF(タスク!$C$5:$C$60,F15,タスク!$J$5:$J$60)</f>
        <v>18.5</v>
      </c>
      <c r="I15" s="21">
        <f>COUNTIF(タスク!$C$5:$C$60,F15)</f>
        <v>7</v>
      </c>
      <c r="J15" s="7"/>
      <c r="K15" s="7" t="s">
        <v>27</v>
      </c>
      <c r="L15" s="7" t="s">
        <v>28</v>
      </c>
      <c r="M15" s="7"/>
      <c r="N15" s="7"/>
      <c r="O15" s="1"/>
    </row>
    <row r="16" spans="1:15" ht="20.100000000000001" customHeight="1">
      <c r="A16" s="21" t="s">
        <v>29</v>
      </c>
      <c r="B16" s="21">
        <f>SUMIF(タスク!$B$5:$B$60,A16,タスク!$I$5:$I$60)</f>
        <v>25</v>
      </c>
      <c r="C16" s="21">
        <f>SUMIF(タスク!$B$5:$B$60,A16,タスク!$J$5:$J$60)</f>
        <v>25</v>
      </c>
      <c r="D16" s="21">
        <f>COUNTIF(タスク!$B$5:$B$60,A16)</f>
        <v>4</v>
      </c>
      <c r="E16" s="7"/>
      <c r="F16" s="21" t="s">
        <v>30</v>
      </c>
      <c r="G16" s="21">
        <f>SUMIF(タスク!$C$5:$C$60,F16,タスク!$I$5:$I$60)</f>
        <v>14</v>
      </c>
      <c r="H16" s="21">
        <f>SUMIF(タスク!$C$5:$C$60,F16,タスク!$J$5:$J$60)</f>
        <v>5</v>
      </c>
      <c r="I16" s="21">
        <f>COUNTIF(タスク!$C$5:$C$60,F16)</f>
        <v>2</v>
      </c>
      <c r="J16" s="7"/>
      <c r="K16" s="7" t="s">
        <v>31</v>
      </c>
      <c r="L16" s="7" t="s">
        <v>32</v>
      </c>
      <c r="M16" s="7"/>
      <c r="N16" s="7"/>
      <c r="O16" s="1"/>
    </row>
    <row r="17" spans="1:15" ht="20.100000000000001" customHeight="1">
      <c r="A17" s="22" t="s">
        <v>33</v>
      </c>
      <c r="B17" s="22">
        <f>SUMIF(タスク!$B$5:$B$60,A17,タスク!$I$5:$I$60)</f>
        <v>8</v>
      </c>
      <c r="C17" s="22">
        <f>SUMIF(タスク!$B$5:$B$60,A17,タスク!$J$5:$J$60)</f>
        <v>8</v>
      </c>
      <c r="D17" s="22">
        <f>COUNTIF(タスク!$B$5:$B$60,A17)</f>
        <v>1</v>
      </c>
      <c r="E17" s="7"/>
      <c r="F17" s="21" t="s">
        <v>34</v>
      </c>
      <c r="G17" s="21">
        <f>SUMIF(タスク!$C$5:$C$60,F17,タスク!$I$5:$I$60)</f>
        <v>35</v>
      </c>
      <c r="H17" s="21">
        <f>SUMIF(タスク!$C$5:$C$60,F17,タスク!$J$5:$J$60)</f>
        <v>27</v>
      </c>
      <c r="I17" s="21">
        <f>COUNTIF(タスク!$C$5:$C$60,F17)</f>
        <v>5</v>
      </c>
      <c r="J17" s="7"/>
      <c r="K17" s="7" t="s">
        <v>35</v>
      </c>
      <c r="L17" s="7" t="s">
        <v>36</v>
      </c>
      <c r="M17" s="7"/>
      <c r="N17" s="7"/>
      <c r="O17" s="1"/>
    </row>
    <row r="18" spans="1:15" ht="20.100000000000001" customHeight="1">
      <c r="A18" s="7"/>
      <c r="B18" s="7"/>
      <c r="C18" s="7"/>
      <c r="D18" s="7"/>
      <c r="E18" s="7"/>
      <c r="F18" s="21" t="s">
        <v>37</v>
      </c>
      <c r="G18" s="21">
        <f>SUMIF(タスク!$C$5:$C$60,F18,タスク!$I$5:$I$60)</f>
        <v>53</v>
      </c>
      <c r="H18" s="21">
        <f>SUMIF(タスク!$C$5:$C$60,F18,タスク!$J$5:$J$60)</f>
        <v>47</v>
      </c>
      <c r="I18" s="21">
        <f>COUNTIF(タスク!$C$5:$C$60,F18)</f>
        <v>9</v>
      </c>
      <c r="J18" s="7"/>
      <c r="K18" s="7"/>
      <c r="L18" s="7"/>
      <c r="M18" s="7"/>
      <c r="N18" s="7"/>
      <c r="O18" s="1"/>
    </row>
    <row r="19" spans="1:15" ht="20.100000000000001" customHeight="1">
      <c r="A19" s="7"/>
      <c r="B19" s="7"/>
      <c r="C19" s="7"/>
      <c r="D19" s="7"/>
      <c r="E19" s="7"/>
      <c r="F19" s="21" t="s">
        <v>38</v>
      </c>
      <c r="G19" s="21">
        <f>SUMIF(タスク!$C$5:$C$60,F19,タスク!$I$5:$I$60)</f>
        <v>38</v>
      </c>
      <c r="H19" s="21">
        <f>SUMIF(タスク!$C$5:$C$60,F19,タスク!$J$5:$J$60)</f>
        <v>35</v>
      </c>
      <c r="I19" s="21">
        <f>COUNTIF(タスク!$C$5:$C$60,F19)</f>
        <v>4</v>
      </c>
      <c r="J19" s="7"/>
      <c r="K19" s="7" t="s">
        <v>39</v>
      </c>
      <c r="L19" s="7"/>
      <c r="M19" s="7"/>
      <c r="N19" s="7"/>
      <c r="O19" s="1"/>
    </row>
    <row r="20" spans="1:15" ht="20.100000000000001" customHeight="1">
      <c r="A20" s="7"/>
      <c r="B20" s="7"/>
      <c r="C20" s="7"/>
      <c r="D20" s="7"/>
      <c r="E20" s="7"/>
      <c r="F20" s="21" t="s">
        <v>40</v>
      </c>
      <c r="G20" s="21">
        <f>SUMIF(タスク!$C$5:$C$60,F20,タスク!$I$5:$I$60)</f>
        <v>20</v>
      </c>
      <c r="H20" s="21">
        <f>SUMIF(タスク!$C$5:$C$60,F20,タスク!$J$5:$J$60)</f>
        <v>7</v>
      </c>
      <c r="I20" s="21">
        <f>COUNTIF(タスク!$C$5:$C$60,F20)</f>
        <v>2</v>
      </c>
      <c r="J20" s="7"/>
      <c r="K20" s="7" t="s">
        <v>41</v>
      </c>
      <c r="L20" s="7" t="s">
        <v>42</v>
      </c>
      <c r="M20" s="7"/>
      <c r="N20" s="7"/>
      <c r="O20" s="1"/>
    </row>
    <row r="21" spans="1:15" ht="20.100000000000001" customHeight="1">
      <c r="A21" s="7"/>
      <c r="B21" s="7"/>
      <c r="C21" s="7"/>
      <c r="D21" s="7"/>
      <c r="E21" s="7"/>
      <c r="F21" s="21" t="s">
        <v>43</v>
      </c>
      <c r="G21" s="21">
        <f>SUMIF(タスク!$C$5:$C$60,F21,タスク!$I$5:$I$60)</f>
        <v>20</v>
      </c>
      <c r="H21" s="21">
        <f>SUMIF(タスク!$C$5:$C$60,F21,タスク!$J$5:$J$60)</f>
        <v>15</v>
      </c>
      <c r="I21" s="21">
        <f>COUNTIF(タスク!$C$5:$C$60,F21)</f>
        <v>4</v>
      </c>
      <c r="J21" s="7"/>
      <c r="K21" s="7" t="s">
        <v>44</v>
      </c>
      <c r="L21" s="7" t="s">
        <v>45</v>
      </c>
      <c r="M21" s="7"/>
      <c r="N21" s="7"/>
      <c r="O21" s="1"/>
    </row>
    <row r="22" spans="1:15" ht="20.100000000000001" customHeight="1">
      <c r="A22" s="7"/>
      <c r="B22" s="7"/>
      <c r="C22" s="7"/>
      <c r="D22" s="7"/>
      <c r="E22" s="7"/>
      <c r="F22" s="21" t="s">
        <v>46</v>
      </c>
      <c r="G22" s="21">
        <f>SUMIF(タスク!$C$5:$C$60,F22,タスク!$I$5:$I$60)</f>
        <v>18</v>
      </c>
      <c r="H22" s="21">
        <f>SUMIF(タスク!$C$5:$C$60,F22,タスク!$J$5:$J$60)</f>
        <v>18</v>
      </c>
      <c r="I22" s="21">
        <f>COUNTIF(タスク!$C$5:$C$60,F22)</f>
        <v>5</v>
      </c>
      <c r="J22" s="7"/>
      <c r="K22" s="7" t="s">
        <v>47</v>
      </c>
      <c r="L22" s="7" t="str">
        <f>IF(COUNT(タスク!O5:O60)=0,"",SUM(タスク!O5:O60))</f>
        <v/>
      </c>
      <c r="M22" s="7"/>
      <c r="N22" s="7"/>
      <c r="O22" s="1"/>
    </row>
    <row r="23" spans="1:15" ht="20.100000000000001" customHeight="1">
      <c r="A23" s="7"/>
      <c r="B23" s="7"/>
      <c r="C23" s="7"/>
      <c r="D23" s="7"/>
      <c r="E23" s="7"/>
      <c r="F23" s="21" t="s">
        <v>48</v>
      </c>
      <c r="G23" s="21">
        <f>SUMIF(タスク!$C$5:$C$60,F23,タスク!$I$5:$I$60)</f>
        <v>28</v>
      </c>
      <c r="H23" s="21">
        <f>SUMIF(タスク!$C$5:$C$60,F23,タスク!$J$5:$J$60)</f>
        <v>24</v>
      </c>
      <c r="I23" s="21">
        <f>COUNTIF(タスク!$C$5:$C$60,F23)</f>
        <v>8</v>
      </c>
      <c r="J23" s="7"/>
      <c r="K23" s="7"/>
      <c r="L23" s="7"/>
      <c r="M23" s="7"/>
      <c r="N23" s="7"/>
      <c r="O23" s="1"/>
    </row>
    <row r="24" spans="1:15" ht="20.100000000000001" customHeight="1">
      <c r="A24" s="7"/>
      <c r="B24" s="7"/>
      <c r="C24" s="7"/>
      <c r="D24" s="7"/>
      <c r="E24" s="7"/>
      <c r="F24" s="21" t="s">
        <v>49</v>
      </c>
      <c r="G24" s="21">
        <f>SUMIF(タスク!$C$5:$C$60,F24,タスク!$I$5:$I$60)</f>
        <v>8</v>
      </c>
      <c r="H24" s="21">
        <f>SUMIF(タスク!$C$5:$C$60,F24,タスク!$J$5:$J$60)</f>
        <v>8</v>
      </c>
      <c r="I24" s="21">
        <f>COUNTIF(タスク!$C$5:$C$60,F24)</f>
        <v>1</v>
      </c>
      <c r="J24" s="7"/>
      <c r="K24" s="7"/>
      <c r="L24" s="7"/>
      <c r="M24" s="7"/>
      <c r="N24" s="7"/>
      <c r="O24" s="1"/>
    </row>
    <row r="25" spans="1:15" ht="20.100000000000001" customHeight="1">
      <c r="A25" s="7"/>
      <c r="B25" s="7"/>
      <c r="C25" s="7"/>
      <c r="D25" s="7"/>
      <c r="E25" s="7"/>
      <c r="F25" s="21" t="s">
        <v>50</v>
      </c>
      <c r="G25" s="21">
        <f>SUMIF(タスク!$C$5:$C$60,F25,タスク!$I$5:$I$60)</f>
        <v>8</v>
      </c>
      <c r="H25" s="21">
        <f>SUMIF(タスク!$C$5:$C$60,F25,タスク!$J$5:$J$60)</f>
        <v>8</v>
      </c>
      <c r="I25" s="21">
        <f>COUNTIF(タスク!$C$5:$C$60,F25)</f>
        <v>1</v>
      </c>
      <c r="J25" s="7"/>
      <c r="K25" s="7"/>
      <c r="L25" s="7"/>
      <c r="M25" s="7"/>
      <c r="N25" s="7"/>
      <c r="O25" s="1"/>
    </row>
    <row r="26" spans="1:15" ht="20.100000000000001" customHeight="1">
      <c r="A26" s="1"/>
      <c r="B26" s="1"/>
      <c r="C26" s="1"/>
      <c r="D26" s="1"/>
      <c r="E26" s="1"/>
      <c r="F26" s="15" t="s">
        <v>51</v>
      </c>
      <c r="G26" s="15">
        <f>SUMIF(タスク!$C$5:$C$60,F26,タスク!$I$5:$I$60)</f>
        <v>10</v>
      </c>
      <c r="H26" s="15">
        <f>SUMIF(タスク!$C$5:$C$60,F26,タスク!$J$5:$J$60)</f>
        <v>10</v>
      </c>
      <c r="I26" s="15">
        <f>COUNTIF(タスク!$C$5:$C$60,F26)</f>
        <v>1</v>
      </c>
      <c r="J26" s="1"/>
      <c r="K26" s="1"/>
      <c r="L26" s="1"/>
      <c r="M26" s="1"/>
      <c r="N26" s="1"/>
      <c r="O26" s="1"/>
    </row>
    <row r="27" spans="1:15" ht="20.100000000000001" customHeight="1">
      <c r="A27" s="1"/>
      <c r="B27" s="1"/>
      <c r="C27" s="1"/>
      <c r="D27" s="1"/>
      <c r="E27" s="1"/>
      <c r="F27" s="16" t="s">
        <v>52</v>
      </c>
      <c r="G27" s="16">
        <f>SUMIF(タスク!$C$5:$C$60,F27,タスク!$I$5:$I$60)</f>
        <v>8</v>
      </c>
      <c r="H27" s="16">
        <f>SUMIF(タスク!$C$5:$C$60,F27,タスク!$J$5:$J$60)</f>
        <v>8</v>
      </c>
      <c r="I27" s="16">
        <f>COUNTIF(タスク!$C$5:$C$60,F27)</f>
        <v>1</v>
      </c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O12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2" sqref="A2"/>
    </sheetView>
  </sheetViews>
  <sheetFormatPr defaultRowHeight="14.25"/>
  <cols>
    <col min="1" max="1" width="9" customWidth="1"/>
    <col min="2" max="2" width="12" customWidth="1"/>
    <col min="3" max="3" width="14" customWidth="1"/>
    <col min="4" max="4" width="34" customWidth="1"/>
    <col min="5" max="5" width="10" customWidth="1"/>
    <col min="6" max="6" width="19" customWidth="1"/>
    <col min="7" max="8" width="12" customWidth="1"/>
    <col min="9" max="9" width="13" customWidth="1"/>
    <col min="10" max="10" width="12" customWidth="1"/>
    <col min="11" max="11" width="10" customWidth="1"/>
    <col min="12" max="12" width="13" customWidth="1"/>
    <col min="13" max="13" width="60" customWidth="1"/>
    <col min="14" max="14" width="38" customWidth="1"/>
    <col min="15" max="15" width="14" customWidth="1"/>
  </cols>
  <sheetData>
    <row r="1" spans="1:15" ht="19.5">
      <c r="A1" s="5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6" t="s">
        <v>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4" t="s">
        <v>55</v>
      </c>
      <c r="B4" s="4" t="s">
        <v>14</v>
      </c>
      <c r="C4" s="4" t="s">
        <v>18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16</v>
      </c>
      <c r="K4" s="4" t="s">
        <v>62</v>
      </c>
      <c r="L4" s="4" t="s">
        <v>63</v>
      </c>
      <c r="M4" s="4" t="s">
        <v>64</v>
      </c>
      <c r="N4" s="4" t="s">
        <v>65</v>
      </c>
      <c r="O4" s="4" t="s">
        <v>66</v>
      </c>
    </row>
    <row r="5" spans="1:15">
      <c r="A5" s="7" t="s">
        <v>67</v>
      </c>
      <c r="B5" s="7" t="s">
        <v>21</v>
      </c>
      <c r="C5" s="7" t="s">
        <v>22</v>
      </c>
      <c r="D5" s="7" t="s">
        <v>68</v>
      </c>
      <c r="E5" s="7" t="s">
        <v>69</v>
      </c>
      <c r="F5" s="7" t="s">
        <v>27</v>
      </c>
      <c r="G5" s="8">
        <v>3</v>
      </c>
      <c r="H5" s="8">
        <v>2</v>
      </c>
      <c r="I5" s="9">
        <f t="shared" ref="I5:I36" si="0">G5+H5</f>
        <v>5</v>
      </c>
      <c r="J5" s="8">
        <v>4</v>
      </c>
      <c r="K5" s="9">
        <f>J5/サマリー!$B$9</f>
        <v>0.5</v>
      </c>
      <c r="L5" s="9">
        <f>K5*サマリー!$B$10</f>
        <v>4</v>
      </c>
      <c r="M5" s="10" t="s">
        <v>70</v>
      </c>
      <c r="N5" s="10"/>
      <c r="O5" s="8"/>
    </row>
    <row r="6" spans="1:15">
      <c r="A6" s="7" t="s">
        <v>71</v>
      </c>
      <c r="B6" s="7" t="s">
        <v>21</v>
      </c>
      <c r="C6" s="7" t="s">
        <v>22</v>
      </c>
      <c r="D6" s="7" t="s">
        <v>72</v>
      </c>
      <c r="E6" s="7" t="s">
        <v>69</v>
      </c>
      <c r="F6" s="7" t="s">
        <v>23</v>
      </c>
      <c r="G6" s="8">
        <v>1</v>
      </c>
      <c r="H6" s="8">
        <v>0</v>
      </c>
      <c r="I6" s="9">
        <f t="shared" si="0"/>
        <v>1</v>
      </c>
      <c r="J6" s="8">
        <v>0.5</v>
      </c>
      <c r="K6" s="9">
        <f>J6/サマリー!$B$9</f>
        <v>6.25E-2</v>
      </c>
      <c r="L6" s="9">
        <f>K6*サマリー!$B$10</f>
        <v>0.5</v>
      </c>
      <c r="M6" s="10" t="s">
        <v>73</v>
      </c>
      <c r="N6" s="10"/>
      <c r="O6" s="8"/>
    </row>
    <row r="7" spans="1:15">
      <c r="A7" s="7" t="s">
        <v>74</v>
      </c>
      <c r="B7" s="7" t="s">
        <v>21</v>
      </c>
      <c r="C7" s="7" t="s">
        <v>22</v>
      </c>
      <c r="D7" s="7" t="s">
        <v>75</v>
      </c>
      <c r="E7" s="7" t="s">
        <v>69</v>
      </c>
      <c r="F7" s="7" t="s">
        <v>23</v>
      </c>
      <c r="G7" s="8">
        <v>2</v>
      </c>
      <c r="H7" s="8">
        <v>0</v>
      </c>
      <c r="I7" s="9">
        <f t="shared" si="0"/>
        <v>2</v>
      </c>
      <c r="J7" s="8">
        <v>1</v>
      </c>
      <c r="K7" s="9">
        <f>J7/サマリー!$B$9</f>
        <v>0.125</v>
      </c>
      <c r="L7" s="9">
        <f>K7*サマリー!$B$10</f>
        <v>1</v>
      </c>
      <c r="M7" s="10" t="s">
        <v>76</v>
      </c>
      <c r="N7" s="10"/>
      <c r="O7" s="8"/>
    </row>
    <row r="8" spans="1:15">
      <c r="A8" s="7" t="s">
        <v>77</v>
      </c>
      <c r="B8" s="7" t="s">
        <v>21</v>
      </c>
      <c r="C8" s="7" t="s">
        <v>22</v>
      </c>
      <c r="D8" s="7" t="s">
        <v>78</v>
      </c>
      <c r="E8" s="7" t="s">
        <v>69</v>
      </c>
      <c r="F8" s="7" t="s">
        <v>27</v>
      </c>
      <c r="G8" s="8">
        <v>3</v>
      </c>
      <c r="H8" s="8">
        <v>2</v>
      </c>
      <c r="I8" s="9">
        <f t="shared" si="0"/>
        <v>5</v>
      </c>
      <c r="J8" s="8">
        <v>4</v>
      </c>
      <c r="K8" s="9">
        <f>J8/サマリー!$B$9</f>
        <v>0.5</v>
      </c>
      <c r="L8" s="9">
        <f>K8*サマリー!$B$10</f>
        <v>4</v>
      </c>
      <c r="M8" s="10" t="s">
        <v>79</v>
      </c>
      <c r="N8" s="10"/>
      <c r="O8" s="8"/>
    </row>
    <row r="9" spans="1:15">
      <c r="A9" s="7" t="s">
        <v>80</v>
      </c>
      <c r="B9" s="7" t="s">
        <v>21</v>
      </c>
      <c r="C9" s="7" t="s">
        <v>26</v>
      </c>
      <c r="D9" s="7" t="s">
        <v>81</v>
      </c>
      <c r="E9" s="7" t="s">
        <v>69</v>
      </c>
      <c r="F9" s="7" t="s">
        <v>23</v>
      </c>
      <c r="G9" s="8">
        <v>2</v>
      </c>
      <c r="H9" s="8">
        <v>0</v>
      </c>
      <c r="I9" s="9">
        <f t="shared" si="0"/>
        <v>2</v>
      </c>
      <c r="J9" s="8">
        <v>1</v>
      </c>
      <c r="K9" s="9">
        <f>J9/サマリー!$B$9</f>
        <v>0.125</v>
      </c>
      <c r="L9" s="9">
        <f>K9*サマリー!$B$10</f>
        <v>1</v>
      </c>
      <c r="M9" s="10" t="s">
        <v>82</v>
      </c>
      <c r="N9" s="10"/>
      <c r="O9" s="8"/>
    </row>
    <row r="10" spans="1:15">
      <c r="A10" s="7" t="s">
        <v>83</v>
      </c>
      <c r="B10" s="7" t="s">
        <v>21</v>
      </c>
      <c r="C10" s="7" t="s">
        <v>26</v>
      </c>
      <c r="D10" s="7" t="s">
        <v>84</v>
      </c>
      <c r="E10" s="7" t="s">
        <v>69</v>
      </c>
      <c r="F10" s="7" t="s">
        <v>23</v>
      </c>
      <c r="G10" s="8">
        <v>1</v>
      </c>
      <c r="H10" s="8">
        <v>0</v>
      </c>
      <c r="I10" s="9">
        <f t="shared" si="0"/>
        <v>1</v>
      </c>
      <c r="J10" s="8">
        <v>0.5</v>
      </c>
      <c r="K10" s="9">
        <f>J10/サマリー!$B$9</f>
        <v>6.25E-2</v>
      </c>
      <c r="L10" s="9">
        <f>K10*サマリー!$B$10</f>
        <v>0.5</v>
      </c>
      <c r="M10" s="10" t="s">
        <v>85</v>
      </c>
      <c r="N10" s="10"/>
      <c r="O10" s="8"/>
    </row>
    <row r="11" spans="1:15">
      <c r="A11" s="7" t="s">
        <v>86</v>
      </c>
      <c r="B11" s="7" t="s">
        <v>21</v>
      </c>
      <c r="C11" s="7" t="s">
        <v>26</v>
      </c>
      <c r="D11" s="7" t="s">
        <v>87</v>
      </c>
      <c r="E11" s="7" t="s">
        <v>88</v>
      </c>
      <c r="F11" s="7" t="s">
        <v>23</v>
      </c>
      <c r="G11" s="8">
        <v>2</v>
      </c>
      <c r="H11" s="8">
        <v>0</v>
      </c>
      <c r="I11" s="9">
        <f t="shared" si="0"/>
        <v>2</v>
      </c>
      <c r="J11" s="8">
        <v>1</v>
      </c>
      <c r="K11" s="9">
        <f>J11/サマリー!$B$9</f>
        <v>0.125</v>
      </c>
      <c r="L11" s="9">
        <f>K11*サマリー!$B$10</f>
        <v>1</v>
      </c>
      <c r="M11" s="10" t="s">
        <v>89</v>
      </c>
      <c r="N11" s="10"/>
      <c r="O11" s="8"/>
    </row>
    <row r="12" spans="1:15">
      <c r="A12" s="7" t="s">
        <v>90</v>
      </c>
      <c r="B12" s="7" t="s">
        <v>21</v>
      </c>
      <c r="C12" s="7" t="s">
        <v>26</v>
      </c>
      <c r="D12" s="7" t="s">
        <v>91</v>
      </c>
      <c r="E12" s="7" t="s">
        <v>69</v>
      </c>
      <c r="F12" s="7" t="s">
        <v>23</v>
      </c>
      <c r="G12" s="8">
        <v>1</v>
      </c>
      <c r="H12" s="8">
        <v>0</v>
      </c>
      <c r="I12" s="9">
        <f t="shared" si="0"/>
        <v>1</v>
      </c>
      <c r="J12" s="8">
        <v>1</v>
      </c>
      <c r="K12" s="9">
        <f>J12/サマリー!$B$9</f>
        <v>0.125</v>
      </c>
      <c r="L12" s="9">
        <f>K12*サマリー!$B$10</f>
        <v>1</v>
      </c>
      <c r="M12" s="10" t="s">
        <v>92</v>
      </c>
      <c r="N12" s="10"/>
      <c r="O12" s="8"/>
    </row>
    <row r="13" spans="1:15">
      <c r="A13" s="7" t="s">
        <v>93</v>
      </c>
      <c r="B13" s="7" t="s">
        <v>21</v>
      </c>
      <c r="C13" s="7" t="s">
        <v>26</v>
      </c>
      <c r="D13" s="7" t="s">
        <v>94</v>
      </c>
      <c r="E13" s="7" t="s">
        <v>69</v>
      </c>
      <c r="F13" s="7" t="s">
        <v>27</v>
      </c>
      <c r="G13" s="8">
        <v>10</v>
      </c>
      <c r="H13" s="8">
        <v>0</v>
      </c>
      <c r="I13" s="9">
        <f t="shared" si="0"/>
        <v>10</v>
      </c>
      <c r="J13" s="8">
        <v>3</v>
      </c>
      <c r="K13" s="9">
        <f>J13/サマリー!$B$9</f>
        <v>0.375</v>
      </c>
      <c r="L13" s="9">
        <f>K13*サマリー!$B$10</f>
        <v>3</v>
      </c>
      <c r="M13" s="10" t="s">
        <v>95</v>
      </c>
      <c r="N13" s="10"/>
      <c r="O13" s="8"/>
    </row>
    <row r="14" spans="1:15">
      <c r="A14" s="7" t="s">
        <v>96</v>
      </c>
      <c r="B14" s="7" t="s">
        <v>21</v>
      </c>
      <c r="C14" s="7" t="s">
        <v>26</v>
      </c>
      <c r="D14" s="7" t="s">
        <v>49</v>
      </c>
      <c r="E14" s="7" t="s">
        <v>69</v>
      </c>
      <c r="F14" s="7" t="s">
        <v>27</v>
      </c>
      <c r="G14" s="8">
        <v>5</v>
      </c>
      <c r="H14" s="8">
        <v>4</v>
      </c>
      <c r="I14" s="9">
        <f t="shared" si="0"/>
        <v>9</v>
      </c>
      <c r="J14" s="8">
        <v>7</v>
      </c>
      <c r="K14" s="9">
        <f>J14/サマリー!$B$9</f>
        <v>0.875</v>
      </c>
      <c r="L14" s="9">
        <f>K14*サマリー!$B$10</f>
        <v>7</v>
      </c>
      <c r="M14" s="10" t="s">
        <v>97</v>
      </c>
      <c r="N14" s="10"/>
      <c r="O14" s="8"/>
    </row>
    <row r="15" spans="1:15">
      <c r="A15" s="7" t="s">
        <v>98</v>
      </c>
      <c r="B15" s="7" t="s">
        <v>21</v>
      </c>
      <c r="C15" s="7" t="s">
        <v>26</v>
      </c>
      <c r="D15" s="7" t="s">
        <v>99</v>
      </c>
      <c r="E15" s="7" t="s">
        <v>88</v>
      </c>
      <c r="F15" s="7" t="s">
        <v>31</v>
      </c>
      <c r="G15" s="8">
        <v>5</v>
      </c>
      <c r="H15" s="8">
        <v>0</v>
      </c>
      <c r="I15" s="9">
        <f t="shared" si="0"/>
        <v>5</v>
      </c>
      <c r="J15" s="8">
        <v>5</v>
      </c>
      <c r="K15" s="9">
        <f>J15/サマリー!$B$9</f>
        <v>0.625</v>
      </c>
      <c r="L15" s="9">
        <f>K15*サマリー!$B$10</f>
        <v>5</v>
      </c>
      <c r="M15" s="10" t="s">
        <v>100</v>
      </c>
      <c r="N15" s="10"/>
      <c r="O15" s="8"/>
    </row>
    <row r="16" spans="1:15">
      <c r="A16" s="7" t="s">
        <v>101</v>
      </c>
      <c r="B16" s="7" t="s">
        <v>21</v>
      </c>
      <c r="C16" s="7" t="s">
        <v>30</v>
      </c>
      <c r="D16" s="7" t="s">
        <v>102</v>
      </c>
      <c r="E16" s="7" t="s">
        <v>69</v>
      </c>
      <c r="F16" s="7" t="s">
        <v>23</v>
      </c>
      <c r="G16" s="8">
        <v>7</v>
      </c>
      <c r="H16" s="8">
        <v>0</v>
      </c>
      <c r="I16" s="9">
        <f t="shared" si="0"/>
        <v>7</v>
      </c>
      <c r="J16" s="8">
        <v>2</v>
      </c>
      <c r="K16" s="9">
        <f>J16/サマリー!$B$9</f>
        <v>0.25</v>
      </c>
      <c r="L16" s="9">
        <f>K16*サマリー!$B$10</f>
        <v>2</v>
      </c>
      <c r="M16" s="10" t="s">
        <v>103</v>
      </c>
      <c r="N16" s="10"/>
      <c r="O16" s="8"/>
    </row>
    <row r="17" spans="1:15">
      <c r="A17" s="7" t="s">
        <v>104</v>
      </c>
      <c r="B17" s="7" t="s">
        <v>21</v>
      </c>
      <c r="C17" s="7" t="s">
        <v>30</v>
      </c>
      <c r="D17" s="7" t="s">
        <v>105</v>
      </c>
      <c r="E17" s="7" t="s">
        <v>69</v>
      </c>
      <c r="F17" s="7" t="s">
        <v>27</v>
      </c>
      <c r="G17" s="8">
        <v>7</v>
      </c>
      <c r="H17" s="8">
        <v>0</v>
      </c>
      <c r="I17" s="9">
        <f t="shared" si="0"/>
        <v>7</v>
      </c>
      <c r="J17" s="8">
        <v>3</v>
      </c>
      <c r="K17" s="9">
        <f>J17/サマリー!$B$9</f>
        <v>0.375</v>
      </c>
      <c r="L17" s="9">
        <f>K17*サマリー!$B$10</f>
        <v>3</v>
      </c>
      <c r="M17" s="10" t="s">
        <v>106</v>
      </c>
      <c r="N17" s="10"/>
      <c r="O17" s="8"/>
    </row>
    <row r="18" spans="1:15">
      <c r="A18" s="7" t="s">
        <v>107</v>
      </c>
      <c r="B18" s="7" t="s">
        <v>21</v>
      </c>
      <c r="C18" s="7" t="s">
        <v>34</v>
      </c>
      <c r="D18" s="7" t="s">
        <v>108</v>
      </c>
      <c r="E18" s="7" t="s">
        <v>69</v>
      </c>
      <c r="F18" s="7" t="s">
        <v>27</v>
      </c>
      <c r="G18" s="8">
        <v>5</v>
      </c>
      <c r="H18" s="8">
        <v>2</v>
      </c>
      <c r="I18" s="9">
        <f t="shared" si="0"/>
        <v>7</v>
      </c>
      <c r="J18" s="8">
        <v>5</v>
      </c>
      <c r="K18" s="9">
        <f>J18/サマリー!$B$9</f>
        <v>0.625</v>
      </c>
      <c r="L18" s="9">
        <f>K18*サマリー!$B$10</f>
        <v>5</v>
      </c>
      <c r="M18" s="10" t="s">
        <v>109</v>
      </c>
      <c r="N18" s="10"/>
      <c r="O18" s="8"/>
    </row>
    <row r="19" spans="1:15">
      <c r="A19" s="7" t="s">
        <v>110</v>
      </c>
      <c r="B19" s="7" t="s">
        <v>21</v>
      </c>
      <c r="C19" s="7" t="s">
        <v>34</v>
      </c>
      <c r="D19" s="7" t="s">
        <v>111</v>
      </c>
      <c r="E19" s="7" t="s">
        <v>69</v>
      </c>
      <c r="F19" s="7" t="s">
        <v>23</v>
      </c>
      <c r="G19" s="8">
        <v>5</v>
      </c>
      <c r="H19" s="8">
        <v>0</v>
      </c>
      <c r="I19" s="9">
        <f t="shared" si="0"/>
        <v>5</v>
      </c>
      <c r="J19" s="8">
        <v>2</v>
      </c>
      <c r="K19" s="9">
        <f>J19/サマリー!$B$9</f>
        <v>0.25</v>
      </c>
      <c r="L19" s="9">
        <f>K19*サマリー!$B$10</f>
        <v>2</v>
      </c>
      <c r="M19" s="10" t="s">
        <v>112</v>
      </c>
      <c r="N19" s="10"/>
      <c r="O19" s="8"/>
    </row>
    <row r="20" spans="1:15">
      <c r="A20" s="7" t="s">
        <v>113</v>
      </c>
      <c r="B20" s="7" t="s">
        <v>21</v>
      </c>
      <c r="C20" s="7" t="s">
        <v>34</v>
      </c>
      <c r="D20" s="7" t="s">
        <v>114</v>
      </c>
      <c r="E20" s="7" t="s">
        <v>69</v>
      </c>
      <c r="F20" s="7" t="s">
        <v>27</v>
      </c>
      <c r="G20" s="8">
        <v>5</v>
      </c>
      <c r="H20" s="8">
        <v>2</v>
      </c>
      <c r="I20" s="9">
        <f t="shared" si="0"/>
        <v>7</v>
      </c>
      <c r="J20" s="8">
        <v>4</v>
      </c>
      <c r="K20" s="9">
        <f>J20/サマリー!$B$9</f>
        <v>0.5</v>
      </c>
      <c r="L20" s="9">
        <f>K20*サマリー!$B$10</f>
        <v>4</v>
      </c>
      <c r="M20" s="10" t="s">
        <v>115</v>
      </c>
      <c r="N20" s="10"/>
      <c r="O20" s="8"/>
    </row>
    <row r="21" spans="1:15">
      <c r="A21" s="7" t="s">
        <v>116</v>
      </c>
      <c r="B21" s="7" t="s">
        <v>21</v>
      </c>
      <c r="C21" s="7" t="s">
        <v>34</v>
      </c>
      <c r="D21" s="7" t="s">
        <v>117</v>
      </c>
      <c r="E21" s="7" t="s">
        <v>69</v>
      </c>
      <c r="F21" s="7" t="s">
        <v>27</v>
      </c>
      <c r="G21" s="8">
        <v>5</v>
      </c>
      <c r="H21" s="8">
        <v>3</v>
      </c>
      <c r="I21" s="9">
        <f t="shared" si="0"/>
        <v>8</v>
      </c>
      <c r="J21" s="8">
        <v>8</v>
      </c>
      <c r="K21" s="9">
        <f>J21/サマリー!$B$9</f>
        <v>1</v>
      </c>
      <c r="L21" s="9">
        <f>K21*サマリー!$B$10</f>
        <v>8</v>
      </c>
      <c r="M21" s="10" t="s">
        <v>118</v>
      </c>
      <c r="N21" s="10"/>
      <c r="O21" s="8"/>
    </row>
    <row r="22" spans="1:15">
      <c r="A22" s="7" t="s">
        <v>119</v>
      </c>
      <c r="B22" s="7" t="s">
        <v>21</v>
      </c>
      <c r="C22" s="7" t="s">
        <v>37</v>
      </c>
      <c r="D22" s="7" t="s">
        <v>120</v>
      </c>
      <c r="E22" s="7" t="s">
        <v>69</v>
      </c>
      <c r="F22" s="7" t="s">
        <v>23</v>
      </c>
      <c r="G22" s="8">
        <v>4</v>
      </c>
      <c r="H22" s="8">
        <v>0</v>
      </c>
      <c r="I22" s="9">
        <f t="shared" si="0"/>
        <v>4</v>
      </c>
      <c r="J22" s="8">
        <v>2</v>
      </c>
      <c r="K22" s="9">
        <f>J22/サマリー!$B$9</f>
        <v>0.25</v>
      </c>
      <c r="L22" s="9">
        <f>K22*サマリー!$B$10</f>
        <v>2</v>
      </c>
      <c r="M22" s="10" t="s">
        <v>121</v>
      </c>
      <c r="N22" s="10"/>
      <c r="O22" s="8"/>
    </row>
    <row r="23" spans="1:15">
      <c r="A23" s="7" t="s">
        <v>122</v>
      </c>
      <c r="B23" s="7" t="s">
        <v>21</v>
      </c>
      <c r="C23" s="7" t="s">
        <v>37</v>
      </c>
      <c r="D23" s="7" t="s">
        <v>123</v>
      </c>
      <c r="E23" s="7" t="s">
        <v>69</v>
      </c>
      <c r="F23" s="7" t="s">
        <v>23</v>
      </c>
      <c r="G23" s="8">
        <v>4</v>
      </c>
      <c r="H23" s="8">
        <v>0</v>
      </c>
      <c r="I23" s="9">
        <f t="shared" si="0"/>
        <v>4</v>
      </c>
      <c r="J23" s="8">
        <v>2</v>
      </c>
      <c r="K23" s="9">
        <f>J23/サマリー!$B$9</f>
        <v>0.25</v>
      </c>
      <c r="L23" s="9">
        <f>K23*サマリー!$B$10</f>
        <v>2</v>
      </c>
      <c r="M23" s="10" t="s">
        <v>124</v>
      </c>
      <c r="N23" s="10"/>
      <c r="O23" s="8"/>
    </row>
    <row r="24" spans="1:15">
      <c r="A24" s="7" t="s">
        <v>125</v>
      </c>
      <c r="B24" s="7" t="s">
        <v>25</v>
      </c>
      <c r="C24" s="7" t="s">
        <v>37</v>
      </c>
      <c r="D24" s="7" t="s">
        <v>126</v>
      </c>
      <c r="E24" s="7" t="s">
        <v>69</v>
      </c>
      <c r="F24" s="7" t="s">
        <v>27</v>
      </c>
      <c r="G24" s="8">
        <v>4</v>
      </c>
      <c r="H24" s="8">
        <v>2</v>
      </c>
      <c r="I24" s="9">
        <f t="shared" si="0"/>
        <v>6</v>
      </c>
      <c r="J24" s="8">
        <v>4</v>
      </c>
      <c r="K24" s="9">
        <f>J24/サマリー!$B$9</f>
        <v>0.5</v>
      </c>
      <c r="L24" s="9">
        <f>K24*サマリー!$B$10</f>
        <v>4</v>
      </c>
      <c r="M24" s="10" t="s">
        <v>127</v>
      </c>
      <c r="N24" s="10"/>
      <c r="O24" s="8"/>
    </row>
    <row r="25" spans="1:15">
      <c r="A25" s="7" t="s">
        <v>128</v>
      </c>
      <c r="B25" s="7" t="s">
        <v>25</v>
      </c>
      <c r="C25" s="7" t="s">
        <v>37</v>
      </c>
      <c r="D25" s="7" t="s">
        <v>129</v>
      </c>
      <c r="E25" s="7" t="s">
        <v>130</v>
      </c>
      <c r="F25" s="7" t="s">
        <v>31</v>
      </c>
      <c r="G25" s="8">
        <v>4</v>
      </c>
      <c r="H25" s="8">
        <v>0</v>
      </c>
      <c r="I25" s="9">
        <f t="shared" si="0"/>
        <v>4</v>
      </c>
      <c r="J25" s="8">
        <v>4</v>
      </c>
      <c r="K25" s="9">
        <f>J25/サマリー!$B$9</f>
        <v>0.5</v>
      </c>
      <c r="L25" s="9">
        <f>K25*サマリー!$B$10</f>
        <v>4</v>
      </c>
      <c r="M25" s="10" t="s">
        <v>131</v>
      </c>
      <c r="N25" s="10"/>
      <c r="O25" s="8"/>
    </row>
    <row r="26" spans="1:15">
      <c r="A26" s="7" t="s">
        <v>132</v>
      </c>
      <c r="B26" s="7" t="s">
        <v>21</v>
      </c>
      <c r="C26" s="7" t="s">
        <v>37</v>
      </c>
      <c r="D26" s="7" t="s">
        <v>133</v>
      </c>
      <c r="E26" s="7" t="s">
        <v>69</v>
      </c>
      <c r="F26" s="7" t="s">
        <v>31</v>
      </c>
      <c r="G26" s="8">
        <v>7</v>
      </c>
      <c r="H26" s="8">
        <v>0</v>
      </c>
      <c r="I26" s="9">
        <f t="shared" si="0"/>
        <v>7</v>
      </c>
      <c r="J26" s="8">
        <v>7</v>
      </c>
      <c r="K26" s="9">
        <f>J26/サマリー!$B$9</f>
        <v>0.875</v>
      </c>
      <c r="L26" s="9">
        <f>K26*サマリー!$B$10</f>
        <v>7</v>
      </c>
      <c r="M26" s="10" t="s">
        <v>134</v>
      </c>
      <c r="N26" s="10"/>
      <c r="O26" s="8"/>
    </row>
    <row r="27" spans="1:15">
      <c r="A27" s="7" t="s">
        <v>135</v>
      </c>
      <c r="B27" s="7" t="s">
        <v>25</v>
      </c>
      <c r="C27" s="7" t="s">
        <v>37</v>
      </c>
      <c r="D27" s="7" t="s">
        <v>136</v>
      </c>
      <c r="E27" s="7" t="s">
        <v>130</v>
      </c>
      <c r="F27" s="7" t="s">
        <v>31</v>
      </c>
      <c r="G27" s="8">
        <v>5</v>
      </c>
      <c r="H27" s="8">
        <v>0</v>
      </c>
      <c r="I27" s="9">
        <f t="shared" si="0"/>
        <v>5</v>
      </c>
      <c r="J27" s="8">
        <v>5</v>
      </c>
      <c r="K27" s="9">
        <f>J27/サマリー!$B$9</f>
        <v>0.625</v>
      </c>
      <c r="L27" s="9">
        <f>K27*サマリー!$B$10</f>
        <v>5</v>
      </c>
      <c r="M27" s="10" t="s">
        <v>134</v>
      </c>
      <c r="N27" s="10"/>
      <c r="O27" s="8"/>
    </row>
    <row r="28" spans="1:15">
      <c r="A28" s="7" t="s">
        <v>137</v>
      </c>
      <c r="B28" s="7" t="s">
        <v>25</v>
      </c>
      <c r="C28" s="7" t="s">
        <v>37</v>
      </c>
      <c r="D28" s="7" t="s">
        <v>138</v>
      </c>
      <c r="E28" s="7" t="s">
        <v>130</v>
      </c>
      <c r="F28" s="7" t="s">
        <v>31</v>
      </c>
      <c r="G28" s="8">
        <v>5</v>
      </c>
      <c r="H28" s="8">
        <v>0</v>
      </c>
      <c r="I28" s="9">
        <f t="shared" si="0"/>
        <v>5</v>
      </c>
      <c r="J28" s="8">
        <v>5</v>
      </c>
      <c r="K28" s="9">
        <f>J28/サマリー!$B$9</f>
        <v>0.625</v>
      </c>
      <c r="L28" s="9">
        <f>K28*サマリー!$B$10</f>
        <v>5</v>
      </c>
      <c r="M28" s="10" t="s">
        <v>134</v>
      </c>
      <c r="N28" s="10"/>
      <c r="O28" s="8"/>
    </row>
    <row r="29" spans="1:15">
      <c r="A29" s="7" t="s">
        <v>139</v>
      </c>
      <c r="B29" s="7" t="s">
        <v>21</v>
      </c>
      <c r="C29" s="7" t="s">
        <v>38</v>
      </c>
      <c r="D29" s="7" t="s">
        <v>140</v>
      </c>
      <c r="E29" s="7" t="s">
        <v>69</v>
      </c>
      <c r="F29" s="7" t="s">
        <v>27</v>
      </c>
      <c r="G29" s="8">
        <v>10</v>
      </c>
      <c r="H29" s="8">
        <v>0</v>
      </c>
      <c r="I29" s="9">
        <f t="shared" si="0"/>
        <v>10</v>
      </c>
      <c r="J29" s="8">
        <v>7</v>
      </c>
      <c r="K29" s="9">
        <f>J29/サマリー!$B$9</f>
        <v>0.875</v>
      </c>
      <c r="L29" s="9">
        <f>K29*サマリー!$B$10</f>
        <v>7</v>
      </c>
      <c r="M29" s="10" t="s">
        <v>141</v>
      </c>
      <c r="N29" s="10"/>
      <c r="O29" s="8"/>
    </row>
    <row r="30" spans="1:15">
      <c r="A30" s="7" t="s">
        <v>142</v>
      </c>
      <c r="B30" s="7" t="s">
        <v>25</v>
      </c>
      <c r="C30" s="7" t="s">
        <v>38</v>
      </c>
      <c r="D30" s="7" t="s">
        <v>143</v>
      </c>
      <c r="E30" s="7" t="s">
        <v>130</v>
      </c>
      <c r="F30" s="7" t="s">
        <v>31</v>
      </c>
      <c r="G30" s="8">
        <v>10</v>
      </c>
      <c r="H30" s="8">
        <v>0</v>
      </c>
      <c r="I30" s="9">
        <f t="shared" si="0"/>
        <v>10</v>
      </c>
      <c r="J30" s="8">
        <v>10</v>
      </c>
      <c r="K30" s="9">
        <f>J30/サマリー!$B$9</f>
        <v>1.25</v>
      </c>
      <c r="L30" s="9">
        <f>K30*サマリー!$B$10</f>
        <v>10</v>
      </c>
      <c r="M30" s="10" t="s">
        <v>134</v>
      </c>
      <c r="N30" s="10"/>
      <c r="O30" s="8"/>
    </row>
    <row r="31" spans="1:15">
      <c r="A31" s="7" t="s">
        <v>144</v>
      </c>
      <c r="B31" s="7" t="s">
        <v>25</v>
      </c>
      <c r="C31" s="7" t="s">
        <v>38</v>
      </c>
      <c r="D31" s="7" t="s">
        <v>145</v>
      </c>
      <c r="E31" s="7" t="s">
        <v>130</v>
      </c>
      <c r="F31" s="7" t="s">
        <v>31</v>
      </c>
      <c r="G31" s="8">
        <v>10</v>
      </c>
      <c r="H31" s="8">
        <v>0</v>
      </c>
      <c r="I31" s="9">
        <f t="shared" si="0"/>
        <v>10</v>
      </c>
      <c r="J31" s="8">
        <v>10</v>
      </c>
      <c r="K31" s="9">
        <f>J31/サマリー!$B$9</f>
        <v>1.25</v>
      </c>
      <c r="L31" s="9">
        <f>K31*サマリー!$B$10</f>
        <v>10</v>
      </c>
      <c r="M31" s="10" t="s">
        <v>134</v>
      </c>
      <c r="N31" s="10"/>
      <c r="O31" s="8"/>
    </row>
    <row r="32" spans="1:15">
      <c r="A32" s="7" t="s">
        <v>146</v>
      </c>
      <c r="B32" s="7" t="s">
        <v>21</v>
      </c>
      <c r="C32" s="7" t="s">
        <v>40</v>
      </c>
      <c r="D32" s="7" t="s">
        <v>147</v>
      </c>
      <c r="E32" s="7" t="s">
        <v>69</v>
      </c>
      <c r="F32" s="7" t="s">
        <v>23</v>
      </c>
      <c r="G32" s="8">
        <v>5</v>
      </c>
      <c r="H32" s="8">
        <v>0</v>
      </c>
      <c r="I32" s="9">
        <f t="shared" si="0"/>
        <v>5</v>
      </c>
      <c r="J32" s="8">
        <v>2</v>
      </c>
      <c r="K32" s="9">
        <f>J32/サマリー!$B$9</f>
        <v>0.25</v>
      </c>
      <c r="L32" s="9">
        <f>K32*サマリー!$B$10</f>
        <v>2</v>
      </c>
      <c r="M32" s="10" t="s">
        <v>148</v>
      </c>
      <c r="N32" s="10"/>
      <c r="O32" s="8"/>
    </row>
    <row r="33" spans="1:15">
      <c r="A33" s="7" t="s">
        <v>149</v>
      </c>
      <c r="B33" s="7" t="s">
        <v>21</v>
      </c>
      <c r="C33" s="7" t="s">
        <v>40</v>
      </c>
      <c r="D33" s="7" t="s">
        <v>150</v>
      </c>
      <c r="E33" s="7" t="s">
        <v>69</v>
      </c>
      <c r="F33" s="7" t="s">
        <v>27</v>
      </c>
      <c r="G33" s="8">
        <v>15</v>
      </c>
      <c r="H33" s="8">
        <v>0</v>
      </c>
      <c r="I33" s="9">
        <f t="shared" si="0"/>
        <v>15</v>
      </c>
      <c r="J33" s="8">
        <v>5</v>
      </c>
      <c r="K33" s="9">
        <f>J33/サマリー!$B$9</f>
        <v>0.625</v>
      </c>
      <c r="L33" s="9">
        <f>K33*サマリー!$B$10</f>
        <v>5</v>
      </c>
      <c r="M33" s="10" t="s">
        <v>151</v>
      </c>
      <c r="N33" s="10"/>
      <c r="O33" s="8"/>
    </row>
    <row r="34" spans="1:15">
      <c r="A34" s="7" t="s">
        <v>152</v>
      </c>
      <c r="B34" s="7" t="s">
        <v>21</v>
      </c>
      <c r="C34" s="7" t="s">
        <v>43</v>
      </c>
      <c r="D34" s="7" t="s">
        <v>153</v>
      </c>
      <c r="E34" s="7" t="s">
        <v>69</v>
      </c>
      <c r="F34" s="7" t="s">
        <v>27</v>
      </c>
      <c r="G34" s="8">
        <v>5</v>
      </c>
      <c r="H34" s="8">
        <v>0</v>
      </c>
      <c r="I34" s="9">
        <f t="shared" si="0"/>
        <v>5</v>
      </c>
      <c r="J34" s="8">
        <v>3</v>
      </c>
      <c r="K34" s="9">
        <f>J34/サマリー!$B$9</f>
        <v>0.375</v>
      </c>
      <c r="L34" s="9">
        <f>K34*サマリー!$B$10</f>
        <v>3</v>
      </c>
      <c r="M34" s="10" t="s">
        <v>154</v>
      </c>
      <c r="N34" s="10"/>
      <c r="O34" s="8"/>
    </row>
    <row r="35" spans="1:15">
      <c r="A35" s="7" t="s">
        <v>155</v>
      </c>
      <c r="B35" s="7" t="s">
        <v>21</v>
      </c>
      <c r="C35" s="7" t="s">
        <v>43</v>
      </c>
      <c r="D35" s="7" t="s">
        <v>156</v>
      </c>
      <c r="E35" s="7" t="s">
        <v>69</v>
      </c>
      <c r="F35" s="7" t="s">
        <v>27</v>
      </c>
      <c r="G35" s="8">
        <v>5</v>
      </c>
      <c r="H35" s="8">
        <v>0</v>
      </c>
      <c r="I35" s="9">
        <f t="shared" si="0"/>
        <v>5</v>
      </c>
      <c r="J35" s="8">
        <v>4</v>
      </c>
      <c r="K35" s="9">
        <f>J35/サマリー!$B$9</f>
        <v>0.5</v>
      </c>
      <c r="L35" s="9">
        <f>K35*サマリー!$B$10</f>
        <v>4</v>
      </c>
      <c r="M35" s="10" t="s">
        <v>157</v>
      </c>
      <c r="N35" s="10"/>
      <c r="O35" s="8"/>
    </row>
    <row r="36" spans="1:15">
      <c r="A36" s="7" t="s">
        <v>158</v>
      </c>
      <c r="B36" s="7" t="s">
        <v>25</v>
      </c>
      <c r="C36" s="7" t="s">
        <v>43</v>
      </c>
      <c r="D36" s="7" t="s">
        <v>159</v>
      </c>
      <c r="E36" s="7" t="s">
        <v>69</v>
      </c>
      <c r="F36" s="7" t="s">
        <v>27</v>
      </c>
      <c r="G36" s="8">
        <v>5</v>
      </c>
      <c r="H36" s="8">
        <v>0</v>
      </c>
      <c r="I36" s="9">
        <f t="shared" si="0"/>
        <v>5</v>
      </c>
      <c r="J36" s="8">
        <v>3</v>
      </c>
      <c r="K36" s="9">
        <f>J36/サマリー!$B$9</f>
        <v>0.375</v>
      </c>
      <c r="L36" s="9">
        <f>K36*サマリー!$B$10</f>
        <v>3</v>
      </c>
      <c r="M36" s="10" t="s">
        <v>160</v>
      </c>
      <c r="N36" s="10"/>
      <c r="O36" s="8"/>
    </row>
    <row r="37" spans="1:15">
      <c r="A37" s="7" t="s">
        <v>161</v>
      </c>
      <c r="B37" s="7" t="s">
        <v>29</v>
      </c>
      <c r="C37" s="7" t="s">
        <v>43</v>
      </c>
      <c r="D37" s="7" t="s">
        <v>162</v>
      </c>
      <c r="E37" s="7" t="s">
        <v>69</v>
      </c>
      <c r="F37" s="7" t="s">
        <v>31</v>
      </c>
      <c r="G37" s="8">
        <v>5</v>
      </c>
      <c r="H37" s="8">
        <v>0</v>
      </c>
      <c r="I37" s="9">
        <f t="shared" ref="I37:I68" si="1">G37+H37</f>
        <v>5</v>
      </c>
      <c r="J37" s="8">
        <v>5</v>
      </c>
      <c r="K37" s="9">
        <f>J37/サマリー!$B$9</f>
        <v>0.625</v>
      </c>
      <c r="L37" s="9">
        <f>K37*サマリー!$B$10</f>
        <v>5</v>
      </c>
      <c r="M37" s="10" t="s">
        <v>134</v>
      </c>
      <c r="N37" s="10"/>
      <c r="O37" s="8"/>
    </row>
    <row r="38" spans="1:15">
      <c r="A38" s="7" t="s">
        <v>163</v>
      </c>
      <c r="B38" s="7" t="s">
        <v>25</v>
      </c>
      <c r="C38" s="7" t="s">
        <v>46</v>
      </c>
      <c r="D38" s="7" t="s">
        <v>164</v>
      </c>
      <c r="E38" s="7" t="s">
        <v>69</v>
      </c>
      <c r="F38" s="7" t="s">
        <v>31</v>
      </c>
      <c r="G38" s="8">
        <v>2</v>
      </c>
      <c r="H38" s="8">
        <v>0</v>
      </c>
      <c r="I38" s="9">
        <f t="shared" si="1"/>
        <v>2</v>
      </c>
      <c r="J38" s="8">
        <v>2</v>
      </c>
      <c r="K38" s="9">
        <f>J38/サマリー!$B$9</f>
        <v>0.25</v>
      </c>
      <c r="L38" s="9">
        <f>K38*サマリー!$B$10</f>
        <v>2</v>
      </c>
      <c r="M38" s="10" t="s">
        <v>134</v>
      </c>
      <c r="N38" s="10"/>
      <c r="O38" s="8"/>
    </row>
    <row r="39" spans="1:15">
      <c r="A39" s="7" t="s">
        <v>165</v>
      </c>
      <c r="B39" s="7" t="s">
        <v>25</v>
      </c>
      <c r="C39" s="7" t="s">
        <v>46</v>
      </c>
      <c r="D39" s="7" t="s">
        <v>166</v>
      </c>
      <c r="E39" s="7" t="s">
        <v>69</v>
      </c>
      <c r="F39" s="7" t="s">
        <v>31</v>
      </c>
      <c r="G39" s="8">
        <v>4</v>
      </c>
      <c r="H39" s="8">
        <v>0</v>
      </c>
      <c r="I39" s="9">
        <f t="shared" si="1"/>
        <v>4</v>
      </c>
      <c r="J39" s="8">
        <v>4</v>
      </c>
      <c r="K39" s="9">
        <f>J39/サマリー!$B$9</f>
        <v>0.5</v>
      </c>
      <c r="L39" s="9">
        <f>K39*サマリー!$B$10</f>
        <v>4</v>
      </c>
      <c r="M39" s="10" t="s">
        <v>167</v>
      </c>
      <c r="N39" s="10"/>
      <c r="O39" s="8"/>
    </row>
    <row r="40" spans="1:15">
      <c r="A40" s="7" t="s">
        <v>168</v>
      </c>
      <c r="B40" s="7" t="s">
        <v>25</v>
      </c>
      <c r="C40" s="7" t="s">
        <v>46</v>
      </c>
      <c r="D40" s="7" t="s">
        <v>169</v>
      </c>
      <c r="E40" s="7" t="s">
        <v>69</v>
      </c>
      <c r="F40" s="7" t="s">
        <v>31</v>
      </c>
      <c r="G40" s="8">
        <v>2</v>
      </c>
      <c r="H40" s="8">
        <v>0</v>
      </c>
      <c r="I40" s="9">
        <f t="shared" si="1"/>
        <v>2</v>
      </c>
      <c r="J40" s="8">
        <v>2</v>
      </c>
      <c r="K40" s="9">
        <f>J40/サマリー!$B$9</f>
        <v>0.25</v>
      </c>
      <c r="L40" s="9">
        <f>K40*サマリー!$B$10</f>
        <v>2</v>
      </c>
      <c r="M40" s="10" t="s">
        <v>134</v>
      </c>
      <c r="N40" s="10"/>
      <c r="O40" s="8"/>
    </row>
    <row r="41" spans="1:15">
      <c r="A41" s="7" t="s">
        <v>170</v>
      </c>
      <c r="B41" s="7" t="s">
        <v>29</v>
      </c>
      <c r="C41" s="7" t="s">
        <v>46</v>
      </c>
      <c r="D41" s="7" t="s">
        <v>171</v>
      </c>
      <c r="E41" s="7" t="s">
        <v>69</v>
      </c>
      <c r="F41" s="7" t="s">
        <v>31</v>
      </c>
      <c r="G41" s="8">
        <v>4</v>
      </c>
      <c r="H41" s="8">
        <v>0</v>
      </c>
      <c r="I41" s="9">
        <f t="shared" si="1"/>
        <v>4</v>
      </c>
      <c r="J41" s="8">
        <v>4</v>
      </c>
      <c r="K41" s="9">
        <f>J41/サマリー!$B$9</f>
        <v>0.5</v>
      </c>
      <c r="L41" s="9">
        <f>K41*サマリー!$B$10</f>
        <v>4</v>
      </c>
      <c r="M41" s="10" t="s">
        <v>134</v>
      </c>
      <c r="N41" s="10"/>
      <c r="O41" s="8"/>
    </row>
    <row r="42" spans="1:15">
      <c r="A42" s="7" t="s">
        <v>172</v>
      </c>
      <c r="B42" s="7" t="s">
        <v>21</v>
      </c>
      <c r="C42" s="7" t="s">
        <v>48</v>
      </c>
      <c r="D42" s="7" t="s">
        <v>173</v>
      </c>
      <c r="E42" s="7" t="s">
        <v>69</v>
      </c>
      <c r="F42" s="7" t="s">
        <v>23</v>
      </c>
      <c r="G42" s="8">
        <v>3</v>
      </c>
      <c r="H42" s="8">
        <v>0</v>
      </c>
      <c r="I42" s="9">
        <f t="shared" si="1"/>
        <v>3</v>
      </c>
      <c r="J42" s="8">
        <v>1</v>
      </c>
      <c r="K42" s="9">
        <f>J42/サマリー!$B$9</f>
        <v>0.125</v>
      </c>
      <c r="L42" s="9">
        <f>K42*サマリー!$B$10</f>
        <v>1</v>
      </c>
      <c r="M42" s="10" t="s">
        <v>174</v>
      </c>
      <c r="N42" s="10"/>
      <c r="O42" s="8"/>
    </row>
    <row r="43" spans="1:15">
      <c r="A43" s="7" t="s">
        <v>175</v>
      </c>
      <c r="B43" s="7" t="s">
        <v>21</v>
      </c>
      <c r="C43" s="7" t="s">
        <v>48</v>
      </c>
      <c r="D43" s="7" t="s">
        <v>176</v>
      </c>
      <c r="E43" s="7" t="s">
        <v>69</v>
      </c>
      <c r="F43" s="7" t="s">
        <v>27</v>
      </c>
      <c r="G43" s="8">
        <v>5</v>
      </c>
      <c r="H43" s="8">
        <v>0</v>
      </c>
      <c r="I43" s="9">
        <f t="shared" si="1"/>
        <v>5</v>
      </c>
      <c r="J43" s="8">
        <v>3</v>
      </c>
      <c r="K43" s="9">
        <f>J43/サマリー!$B$9</f>
        <v>0.375</v>
      </c>
      <c r="L43" s="9">
        <f>K43*サマリー!$B$10</f>
        <v>3</v>
      </c>
      <c r="M43" s="10" t="s">
        <v>177</v>
      </c>
      <c r="N43" s="10"/>
      <c r="O43" s="8"/>
    </row>
    <row r="44" spans="1:15">
      <c r="A44" s="7" t="s">
        <v>178</v>
      </c>
      <c r="B44" s="7" t="s">
        <v>25</v>
      </c>
      <c r="C44" s="7" t="s">
        <v>48</v>
      </c>
      <c r="D44" s="7" t="s">
        <v>179</v>
      </c>
      <c r="E44" s="7" t="s">
        <v>69</v>
      </c>
      <c r="F44" s="7" t="s">
        <v>31</v>
      </c>
      <c r="G44" s="8">
        <v>3</v>
      </c>
      <c r="H44" s="8">
        <v>0</v>
      </c>
      <c r="I44" s="9">
        <f t="shared" si="1"/>
        <v>3</v>
      </c>
      <c r="J44" s="8">
        <v>3</v>
      </c>
      <c r="K44" s="9">
        <f>J44/サマリー!$B$9</f>
        <v>0.375</v>
      </c>
      <c r="L44" s="9">
        <f>K44*サマリー!$B$10</f>
        <v>3</v>
      </c>
      <c r="M44" s="10" t="s">
        <v>134</v>
      </c>
      <c r="N44" s="10"/>
      <c r="O44" s="8"/>
    </row>
    <row r="45" spans="1:15">
      <c r="A45" s="7" t="s">
        <v>180</v>
      </c>
      <c r="B45" s="7" t="s">
        <v>25</v>
      </c>
      <c r="C45" s="7" t="s">
        <v>48</v>
      </c>
      <c r="D45" s="7" t="s">
        <v>181</v>
      </c>
      <c r="E45" s="7" t="s">
        <v>69</v>
      </c>
      <c r="F45" s="7" t="s">
        <v>31</v>
      </c>
      <c r="G45" s="8">
        <v>3</v>
      </c>
      <c r="H45" s="8">
        <v>0</v>
      </c>
      <c r="I45" s="9">
        <f t="shared" si="1"/>
        <v>3</v>
      </c>
      <c r="J45" s="8">
        <v>3</v>
      </c>
      <c r="K45" s="9">
        <f>J45/サマリー!$B$9</f>
        <v>0.375</v>
      </c>
      <c r="L45" s="9">
        <f>K45*サマリー!$B$10</f>
        <v>3</v>
      </c>
      <c r="M45" s="10" t="s">
        <v>134</v>
      </c>
      <c r="N45" s="10"/>
      <c r="O45" s="8"/>
    </row>
    <row r="46" spans="1:15">
      <c r="A46" s="7" t="s">
        <v>182</v>
      </c>
      <c r="B46" s="7" t="s">
        <v>25</v>
      </c>
      <c r="C46" s="7" t="s">
        <v>48</v>
      </c>
      <c r="D46" s="7" t="s">
        <v>183</v>
      </c>
      <c r="E46" s="7" t="s">
        <v>69</v>
      </c>
      <c r="F46" s="7" t="s">
        <v>31</v>
      </c>
      <c r="G46" s="8">
        <v>3</v>
      </c>
      <c r="H46" s="8">
        <v>0</v>
      </c>
      <c r="I46" s="9">
        <f t="shared" si="1"/>
        <v>3</v>
      </c>
      <c r="J46" s="8">
        <v>3</v>
      </c>
      <c r="K46" s="9">
        <f>J46/サマリー!$B$9</f>
        <v>0.375</v>
      </c>
      <c r="L46" s="9">
        <f>K46*サマリー!$B$10</f>
        <v>3</v>
      </c>
      <c r="M46" s="10" t="s">
        <v>134</v>
      </c>
      <c r="N46" s="10"/>
      <c r="O46" s="8"/>
    </row>
    <row r="47" spans="1:15">
      <c r="A47" s="7" t="s">
        <v>184</v>
      </c>
      <c r="B47" s="7" t="s">
        <v>25</v>
      </c>
      <c r="C47" s="7" t="s">
        <v>48</v>
      </c>
      <c r="D47" s="7" t="s">
        <v>185</v>
      </c>
      <c r="E47" s="7" t="s">
        <v>69</v>
      </c>
      <c r="F47" s="7" t="s">
        <v>31</v>
      </c>
      <c r="G47" s="8">
        <v>3</v>
      </c>
      <c r="H47" s="8">
        <v>0</v>
      </c>
      <c r="I47" s="9">
        <f t="shared" si="1"/>
        <v>3</v>
      </c>
      <c r="J47" s="8">
        <v>3</v>
      </c>
      <c r="K47" s="9">
        <f>J47/サマリー!$B$9</f>
        <v>0.375</v>
      </c>
      <c r="L47" s="9">
        <f>K47*サマリー!$B$10</f>
        <v>3</v>
      </c>
      <c r="M47" s="10" t="s">
        <v>134</v>
      </c>
      <c r="N47" s="10"/>
      <c r="O47" s="8"/>
    </row>
    <row r="48" spans="1:15">
      <c r="A48" s="7" t="s">
        <v>186</v>
      </c>
      <c r="B48" s="7" t="s">
        <v>25</v>
      </c>
      <c r="C48" s="7" t="s">
        <v>48</v>
      </c>
      <c r="D48" s="7" t="s">
        <v>187</v>
      </c>
      <c r="E48" s="7" t="s">
        <v>69</v>
      </c>
      <c r="F48" s="7" t="s">
        <v>31</v>
      </c>
      <c r="G48" s="8">
        <v>3</v>
      </c>
      <c r="H48" s="8">
        <v>0</v>
      </c>
      <c r="I48" s="9">
        <f t="shared" si="1"/>
        <v>3</v>
      </c>
      <c r="J48" s="8">
        <v>3</v>
      </c>
      <c r="K48" s="9">
        <f>J48/サマリー!$B$9</f>
        <v>0.375</v>
      </c>
      <c r="L48" s="9">
        <f>K48*サマリー!$B$10</f>
        <v>3</v>
      </c>
      <c r="M48" s="10" t="s">
        <v>134</v>
      </c>
      <c r="N48" s="10"/>
      <c r="O48" s="8"/>
    </row>
    <row r="49" spans="1:15">
      <c r="A49" s="7" t="s">
        <v>188</v>
      </c>
      <c r="B49" s="7" t="s">
        <v>25</v>
      </c>
      <c r="C49" s="7" t="s">
        <v>48</v>
      </c>
      <c r="D49" s="7" t="s">
        <v>189</v>
      </c>
      <c r="E49" s="7" t="s">
        <v>130</v>
      </c>
      <c r="F49" s="7" t="s">
        <v>31</v>
      </c>
      <c r="G49" s="8">
        <v>5</v>
      </c>
      <c r="H49" s="8">
        <v>0</v>
      </c>
      <c r="I49" s="9">
        <f t="shared" si="1"/>
        <v>5</v>
      </c>
      <c r="J49" s="8">
        <v>5</v>
      </c>
      <c r="K49" s="9">
        <f>J49/サマリー!$B$9</f>
        <v>0.625</v>
      </c>
      <c r="L49" s="9">
        <f>K49*サマリー!$B$10</f>
        <v>5</v>
      </c>
      <c r="M49" s="10" t="s">
        <v>134</v>
      </c>
      <c r="N49" s="10"/>
      <c r="O49" s="8"/>
    </row>
    <row r="50" spans="1:15">
      <c r="A50" s="7" t="s">
        <v>190</v>
      </c>
      <c r="B50" s="7" t="s">
        <v>21</v>
      </c>
      <c r="C50" s="7" t="s">
        <v>22</v>
      </c>
      <c r="D50" s="7" t="s">
        <v>191</v>
      </c>
      <c r="E50" s="7" t="s">
        <v>69</v>
      </c>
      <c r="F50" s="7" t="s">
        <v>35</v>
      </c>
      <c r="G50" s="8">
        <v>0</v>
      </c>
      <c r="H50" s="8">
        <v>6</v>
      </c>
      <c r="I50" s="9">
        <f t="shared" si="1"/>
        <v>6</v>
      </c>
      <c r="J50" s="8">
        <v>6</v>
      </c>
      <c r="K50" s="9">
        <f>J50/サマリー!$B$9</f>
        <v>0.75</v>
      </c>
      <c r="L50" s="9">
        <f>K50*サマリー!$B$10</f>
        <v>6</v>
      </c>
      <c r="M50" s="10" t="s">
        <v>192</v>
      </c>
      <c r="N50" s="10" t="s">
        <v>193</v>
      </c>
      <c r="O50" s="8"/>
    </row>
    <row r="51" spans="1:15">
      <c r="A51" s="7" t="s">
        <v>194</v>
      </c>
      <c r="B51" s="7" t="s">
        <v>21</v>
      </c>
      <c r="C51" s="7" t="s">
        <v>22</v>
      </c>
      <c r="D51" s="7" t="s">
        <v>195</v>
      </c>
      <c r="E51" s="7" t="s">
        <v>69</v>
      </c>
      <c r="F51" s="7" t="s">
        <v>35</v>
      </c>
      <c r="G51" s="8">
        <v>0</v>
      </c>
      <c r="H51" s="8">
        <v>8</v>
      </c>
      <c r="I51" s="9">
        <f t="shared" si="1"/>
        <v>8</v>
      </c>
      <c r="J51" s="8">
        <v>8</v>
      </c>
      <c r="K51" s="9">
        <f>J51/サマリー!$B$9</f>
        <v>1</v>
      </c>
      <c r="L51" s="9">
        <f>K51*サマリー!$B$10</f>
        <v>8</v>
      </c>
      <c r="M51" s="10" t="s">
        <v>196</v>
      </c>
      <c r="N51" s="10" t="s">
        <v>197</v>
      </c>
      <c r="O51" s="8"/>
    </row>
    <row r="52" spans="1:15">
      <c r="A52" s="7" t="s">
        <v>198</v>
      </c>
      <c r="B52" s="7" t="s">
        <v>21</v>
      </c>
      <c r="C52" s="7" t="s">
        <v>49</v>
      </c>
      <c r="D52" s="7" t="s">
        <v>199</v>
      </c>
      <c r="E52" s="7" t="s">
        <v>69</v>
      </c>
      <c r="F52" s="7" t="s">
        <v>35</v>
      </c>
      <c r="G52" s="8">
        <v>0</v>
      </c>
      <c r="H52" s="8">
        <v>8</v>
      </c>
      <c r="I52" s="9">
        <f t="shared" si="1"/>
        <v>8</v>
      </c>
      <c r="J52" s="8">
        <v>8</v>
      </c>
      <c r="K52" s="9">
        <f>J52/サマリー!$B$9</f>
        <v>1</v>
      </c>
      <c r="L52" s="9">
        <f>K52*サマリー!$B$10</f>
        <v>8</v>
      </c>
      <c r="M52" s="10" t="s">
        <v>200</v>
      </c>
      <c r="N52" s="10"/>
      <c r="O52" s="8"/>
    </row>
    <row r="53" spans="1:15">
      <c r="A53" s="7" t="s">
        <v>201</v>
      </c>
      <c r="B53" s="7" t="s">
        <v>25</v>
      </c>
      <c r="C53" s="7" t="s">
        <v>37</v>
      </c>
      <c r="D53" s="7" t="s">
        <v>202</v>
      </c>
      <c r="E53" s="7" t="s">
        <v>69</v>
      </c>
      <c r="F53" s="7" t="s">
        <v>35</v>
      </c>
      <c r="G53" s="8">
        <v>0</v>
      </c>
      <c r="H53" s="8">
        <v>10</v>
      </c>
      <c r="I53" s="9">
        <f t="shared" si="1"/>
        <v>10</v>
      </c>
      <c r="J53" s="8">
        <v>10</v>
      </c>
      <c r="K53" s="9">
        <f>J53/サマリー!$B$9</f>
        <v>1.25</v>
      </c>
      <c r="L53" s="9">
        <f>K53*サマリー!$B$10</f>
        <v>10</v>
      </c>
      <c r="M53" s="10" t="s">
        <v>203</v>
      </c>
      <c r="N53" s="10"/>
      <c r="O53" s="8"/>
    </row>
    <row r="54" spans="1:15">
      <c r="A54" s="7" t="s">
        <v>204</v>
      </c>
      <c r="B54" s="7" t="s">
        <v>25</v>
      </c>
      <c r="C54" s="7" t="s">
        <v>34</v>
      </c>
      <c r="D54" s="7" t="s">
        <v>205</v>
      </c>
      <c r="E54" s="7" t="s">
        <v>69</v>
      </c>
      <c r="F54" s="7" t="s">
        <v>35</v>
      </c>
      <c r="G54" s="8">
        <v>0</v>
      </c>
      <c r="H54" s="8">
        <v>8</v>
      </c>
      <c r="I54" s="9">
        <f t="shared" si="1"/>
        <v>8</v>
      </c>
      <c r="J54" s="8">
        <v>8</v>
      </c>
      <c r="K54" s="9">
        <f>J54/サマリー!$B$9</f>
        <v>1</v>
      </c>
      <c r="L54" s="9">
        <f>K54*サマリー!$B$10</f>
        <v>8</v>
      </c>
      <c r="M54" s="10" t="s">
        <v>206</v>
      </c>
      <c r="N54" s="10"/>
      <c r="O54" s="8"/>
    </row>
    <row r="55" spans="1:15">
      <c r="A55" s="7" t="s">
        <v>207</v>
      </c>
      <c r="B55" s="7" t="s">
        <v>25</v>
      </c>
      <c r="C55" s="7" t="s">
        <v>37</v>
      </c>
      <c r="D55" s="7" t="s">
        <v>208</v>
      </c>
      <c r="E55" s="7" t="s">
        <v>69</v>
      </c>
      <c r="F55" s="7" t="s">
        <v>35</v>
      </c>
      <c r="G55" s="8">
        <v>0</v>
      </c>
      <c r="H55" s="8">
        <v>8</v>
      </c>
      <c r="I55" s="9">
        <f t="shared" si="1"/>
        <v>8</v>
      </c>
      <c r="J55" s="8">
        <v>8</v>
      </c>
      <c r="K55" s="9">
        <f>J55/サマリー!$B$9</f>
        <v>1</v>
      </c>
      <c r="L55" s="9">
        <f>K55*サマリー!$B$10</f>
        <v>8</v>
      </c>
      <c r="M55" s="10" t="s">
        <v>209</v>
      </c>
      <c r="N55" s="10"/>
      <c r="O55" s="8"/>
    </row>
    <row r="56" spans="1:15">
      <c r="A56" s="7" t="s">
        <v>210</v>
      </c>
      <c r="B56" s="7" t="s">
        <v>21</v>
      </c>
      <c r="C56" s="7" t="s">
        <v>38</v>
      </c>
      <c r="D56" s="7" t="s">
        <v>211</v>
      </c>
      <c r="E56" s="7" t="s">
        <v>69</v>
      </c>
      <c r="F56" s="7" t="s">
        <v>35</v>
      </c>
      <c r="G56" s="8">
        <v>0</v>
      </c>
      <c r="H56" s="8">
        <v>8</v>
      </c>
      <c r="I56" s="9">
        <f t="shared" si="1"/>
        <v>8</v>
      </c>
      <c r="J56" s="8">
        <v>8</v>
      </c>
      <c r="K56" s="9">
        <f>J56/サマリー!$B$9</f>
        <v>1</v>
      </c>
      <c r="L56" s="9">
        <f>K56*サマリー!$B$10</f>
        <v>8</v>
      </c>
      <c r="M56" s="10" t="s">
        <v>212</v>
      </c>
      <c r="N56" s="10"/>
      <c r="O56" s="8"/>
    </row>
    <row r="57" spans="1:15">
      <c r="A57" s="7" t="s">
        <v>213</v>
      </c>
      <c r="B57" s="7" t="s">
        <v>25</v>
      </c>
      <c r="C57" s="7" t="s">
        <v>50</v>
      </c>
      <c r="D57" s="7" t="s">
        <v>214</v>
      </c>
      <c r="E57" s="7" t="s">
        <v>69</v>
      </c>
      <c r="F57" s="7" t="s">
        <v>35</v>
      </c>
      <c r="G57" s="8">
        <v>0</v>
      </c>
      <c r="H57" s="8">
        <v>8</v>
      </c>
      <c r="I57" s="9">
        <f t="shared" si="1"/>
        <v>8</v>
      </c>
      <c r="J57" s="8">
        <v>8</v>
      </c>
      <c r="K57" s="9">
        <f>J57/サマリー!$B$9</f>
        <v>1</v>
      </c>
      <c r="L57" s="9">
        <f>K57*サマリー!$B$10</f>
        <v>8</v>
      </c>
      <c r="M57" s="10" t="s">
        <v>215</v>
      </c>
      <c r="N57" s="10"/>
      <c r="O57" s="8"/>
    </row>
    <row r="58" spans="1:15">
      <c r="A58" s="7" t="s">
        <v>216</v>
      </c>
      <c r="B58" s="7" t="s">
        <v>29</v>
      </c>
      <c r="C58" s="7" t="s">
        <v>51</v>
      </c>
      <c r="D58" s="7" t="s">
        <v>217</v>
      </c>
      <c r="E58" s="7" t="s">
        <v>69</v>
      </c>
      <c r="F58" s="7" t="s">
        <v>35</v>
      </c>
      <c r="G58" s="8">
        <v>0</v>
      </c>
      <c r="H58" s="8">
        <v>10</v>
      </c>
      <c r="I58" s="9">
        <f t="shared" si="1"/>
        <v>10</v>
      </c>
      <c r="J58" s="8">
        <v>10</v>
      </c>
      <c r="K58" s="9">
        <f>J58/サマリー!$B$9</f>
        <v>1.25</v>
      </c>
      <c r="L58" s="9">
        <f>K58*サマリー!$B$10</f>
        <v>10</v>
      </c>
      <c r="M58" s="10" t="s">
        <v>218</v>
      </c>
      <c r="N58" s="10"/>
      <c r="O58" s="8"/>
    </row>
    <row r="59" spans="1:15">
      <c r="A59" s="7" t="s">
        <v>219</v>
      </c>
      <c r="B59" s="7" t="s">
        <v>29</v>
      </c>
      <c r="C59" s="7" t="s">
        <v>46</v>
      </c>
      <c r="D59" s="7" t="s">
        <v>220</v>
      </c>
      <c r="E59" s="7" t="s">
        <v>130</v>
      </c>
      <c r="F59" s="7" t="s">
        <v>35</v>
      </c>
      <c r="G59" s="8">
        <v>0</v>
      </c>
      <c r="H59" s="8">
        <v>6</v>
      </c>
      <c r="I59" s="9">
        <f t="shared" si="1"/>
        <v>6</v>
      </c>
      <c r="J59" s="8">
        <v>6</v>
      </c>
      <c r="K59" s="9">
        <f>J59/サマリー!$B$9</f>
        <v>0.75</v>
      </c>
      <c r="L59" s="9">
        <f>K59*サマリー!$B$10</f>
        <v>6</v>
      </c>
      <c r="M59" s="10" t="s">
        <v>221</v>
      </c>
      <c r="N59" s="10"/>
      <c r="O59" s="8"/>
    </row>
    <row r="60" spans="1:15">
      <c r="A60" s="7" t="s">
        <v>222</v>
      </c>
      <c r="B60" s="7" t="s">
        <v>33</v>
      </c>
      <c r="C60" s="7" t="s">
        <v>52</v>
      </c>
      <c r="D60" s="7" t="s">
        <v>223</v>
      </c>
      <c r="E60" s="7" t="s">
        <v>69</v>
      </c>
      <c r="F60" s="7" t="s">
        <v>35</v>
      </c>
      <c r="G60" s="8">
        <v>0</v>
      </c>
      <c r="H60" s="8">
        <v>8</v>
      </c>
      <c r="I60" s="9">
        <f t="shared" si="1"/>
        <v>8</v>
      </c>
      <c r="J60" s="8">
        <v>8</v>
      </c>
      <c r="K60" s="9">
        <f>J60/サマリー!$B$9</f>
        <v>1</v>
      </c>
      <c r="L60" s="9">
        <f>K60*サマリー!$B$10</f>
        <v>8</v>
      </c>
      <c r="M60" s="10" t="s">
        <v>224</v>
      </c>
      <c r="N60" s="10" t="s">
        <v>225</v>
      </c>
      <c r="O60" s="8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phoneticPr fontId="11"/>
  <conditionalFormatting sqref="J5:J60">
    <cfRule type="cellIs" dxfId="0" priority="1" operator="greaterThan">
      <formula>0</formula>
    </cfRule>
  </conditionalFormatting>
  <dataValidations count="1">
    <dataValidation type="list" sqref="F5:F60" xr:uid="{00000000-0002-0000-0100-000000000000}">
      <formula1>"未着手,一部実装,コードあり・要確認,進行中,完了,計画追加"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O120"/>
  <sheetViews>
    <sheetView showGridLines="0" workbookViewId="0">
      <selection activeCell="C20" sqref="C20"/>
    </sheetView>
  </sheetViews>
  <sheetFormatPr defaultRowHeight="14.25"/>
  <cols>
    <col min="1" max="2" width="16" customWidth="1"/>
    <col min="3" max="3" width="76" customWidth="1"/>
    <col min="4" max="4" width="62" customWidth="1"/>
  </cols>
  <sheetData>
    <row r="1" spans="1:15" ht="19.5">
      <c r="A1" s="2" t="s">
        <v>226</v>
      </c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1" t="s">
        <v>14</v>
      </c>
      <c r="B3" s="11" t="s">
        <v>227</v>
      </c>
      <c r="C3" s="11" t="s">
        <v>228</v>
      </c>
      <c r="D3" s="11" t="s">
        <v>229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21</v>
      </c>
      <c r="B4" s="12">
        <v>46339</v>
      </c>
      <c r="C4" s="1" t="s">
        <v>230</v>
      </c>
      <c r="D4" s="1" t="s">
        <v>231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25</v>
      </c>
      <c r="B5" s="12">
        <v>46374</v>
      </c>
      <c r="C5" s="1" t="s">
        <v>232</v>
      </c>
      <c r="D5" s="1" t="s">
        <v>233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29</v>
      </c>
      <c r="B6" s="12">
        <v>46409</v>
      </c>
      <c r="C6" s="1" t="s">
        <v>234</v>
      </c>
      <c r="D6" s="1" t="s">
        <v>235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33</v>
      </c>
      <c r="B7" s="12">
        <v>46430</v>
      </c>
      <c r="C7" s="1" t="s">
        <v>236</v>
      </c>
      <c r="D7" s="1" t="s">
        <v>237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3" t="s">
        <v>238</v>
      </c>
      <c r="B9" s="3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5D02-644C-4C23-9F06-4C3C5812B0CB}">
  <dimension ref="B2:L28"/>
  <sheetViews>
    <sheetView workbookViewId="0">
      <selection activeCell="K13" sqref="K13"/>
    </sheetView>
  </sheetViews>
  <sheetFormatPr defaultRowHeight="15"/>
  <cols>
    <col min="1" max="10" width="9" style="23"/>
    <col min="11" max="11" width="10.25" style="23" bestFit="1" customWidth="1"/>
    <col min="12" max="16384" width="9" style="23"/>
  </cols>
  <sheetData>
    <row r="2" spans="2:12">
      <c r="B2" s="24" t="s">
        <v>252</v>
      </c>
    </row>
    <row r="3" spans="2:12">
      <c r="B3" s="24"/>
      <c r="C3" s="24"/>
      <c r="D3" s="24">
        <v>1</v>
      </c>
      <c r="E3" s="24">
        <v>2</v>
      </c>
      <c r="F3" s="24">
        <v>3</v>
      </c>
      <c r="G3" s="24">
        <v>4</v>
      </c>
      <c r="H3" s="24">
        <v>5</v>
      </c>
      <c r="J3" s="23" t="s">
        <v>243</v>
      </c>
      <c r="K3" s="35"/>
      <c r="L3" s="23" t="s">
        <v>251</v>
      </c>
    </row>
    <row r="4" spans="2:12">
      <c r="B4" s="24">
        <v>6</v>
      </c>
      <c r="C4" s="24">
        <v>7</v>
      </c>
      <c r="D4" s="24">
        <v>8</v>
      </c>
      <c r="E4" s="24">
        <v>9</v>
      </c>
      <c r="F4" s="24">
        <v>10</v>
      </c>
      <c r="G4" s="24">
        <v>11</v>
      </c>
      <c r="H4" s="24">
        <v>12</v>
      </c>
      <c r="J4" s="23" t="s">
        <v>242</v>
      </c>
      <c r="K4" s="34"/>
      <c r="L4" s="23" t="s">
        <v>250</v>
      </c>
    </row>
    <row r="5" spans="2:12">
      <c r="B5" s="24">
        <v>13</v>
      </c>
      <c r="C5" s="24">
        <v>14</v>
      </c>
      <c r="D5" s="24">
        <v>15</v>
      </c>
      <c r="E5" s="24">
        <v>16</v>
      </c>
      <c r="F5" s="24">
        <v>17</v>
      </c>
      <c r="G5" s="24">
        <v>18</v>
      </c>
      <c r="H5" s="24">
        <v>19</v>
      </c>
      <c r="J5" s="23" t="s">
        <v>241</v>
      </c>
      <c r="K5" s="33"/>
      <c r="L5" s="23" t="s">
        <v>249</v>
      </c>
    </row>
    <row r="6" spans="2:12">
      <c r="B6" s="24">
        <v>20</v>
      </c>
      <c r="C6" s="24">
        <v>21</v>
      </c>
      <c r="D6" s="24">
        <v>22</v>
      </c>
      <c r="E6" s="24">
        <v>23</v>
      </c>
      <c r="F6" s="24">
        <v>24</v>
      </c>
      <c r="G6" s="24">
        <v>25</v>
      </c>
      <c r="H6" s="24">
        <v>26</v>
      </c>
      <c r="J6" s="23" t="s">
        <v>248</v>
      </c>
      <c r="K6" s="32"/>
      <c r="L6" s="23" t="s">
        <v>247</v>
      </c>
    </row>
    <row r="7" spans="2:12">
      <c r="B7" s="30">
        <v>27</v>
      </c>
      <c r="C7" s="30">
        <v>28</v>
      </c>
      <c r="D7" s="30">
        <v>29</v>
      </c>
      <c r="E7" s="30">
        <v>30</v>
      </c>
      <c r="F7" s="24"/>
      <c r="G7" s="24"/>
      <c r="H7" s="24"/>
      <c r="J7" s="23" t="s">
        <v>246</v>
      </c>
      <c r="K7" s="31"/>
      <c r="L7" s="23" t="s">
        <v>246</v>
      </c>
    </row>
    <row r="9" spans="2:12">
      <c r="B9" s="28" t="s">
        <v>245</v>
      </c>
      <c r="J9" s="23" t="s">
        <v>244</v>
      </c>
      <c r="K9" s="23">
        <f ca="1" xml:space="preserve"> DATE(2026,12,31) - TODAY()</f>
        <v>80</v>
      </c>
    </row>
    <row r="10" spans="2:12">
      <c r="B10" s="24"/>
      <c r="C10" s="24"/>
      <c r="D10" s="24"/>
      <c r="E10" s="24"/>
      <c r="F10" s="30">
        <v>1</v>
      </c>
      <c r="G10" s="30">
        <v>2</v>
      </c>
      <c r="H10" s="30">
        <v>3</v>
      </c>
      <c r="J10" s="23" t="s">
        <v>243</v>
      </c>
      <c r="K10" s="23">
        <f ca="1" xml:space="preserve"> DATE(2026,10,31) - TODAY()</f>
        <v>19</v>
      </c>
    </row>
    <row r="11" spans="2:12">
      <c r="B11" s="30">
        <v>4</v>
      </c>
      <c r="C11" s="30">
        <v>5</v>
      </c>
      <c r="D11" s="30">
        <v>6</v>
      </c>
      <c r="E11" s="30">
        <v>7</v>
      </c>
      <c r="F11" s="30">
        <v>8</v>
      </c>
      <c r="G11" s="30">
        <v>9</v>
      </c>
      <c r="H11" s="30">
        <v>10</v>
      </c>
      <c r="J11" s="23" t="s">
        <v>242</v>
      </c>
      <c r="K11" s="23">
        <f ca="1" xml:space="preserve"> DATE(2026,11,25) - TODAY()</f>
        <v>44</v>
      </c>
    </row>
    <row r="12" spans="2:12">
      <c r="B12" s="30">
        <v>11</v>
      </c>
      <c r="C12" s="30">
        <v>12</v>
      </c>
      <c r="D12" s="30">
        <v>13</v>
      </c>
      <c r="E12" s="30">
        <v>14</v>
      </c>
      <c r="F12" s="30">
        <v>15</v>
      </c>
      <c r="G12" s="30">
        <v>16</v>
      </c>
      <c r="H12" s="30">
        <v>17</v>
      </c>
      <c r="J12" s="23" t="s">
        <v>241</v>
      </c>
      <c r="K12" s="23">
        <f ca="1" xml:space="preserve"> DATE(2026,12,16) - TODAY()</f>
        <v>65</v>
      </c>
    </row>
    <row r="13" spans="2:12">
      <c r="B13" s="30">
        <v>18</v>
      </c>
      <c r="C13" s="30">
        <v>19</v>
      </c>
      <c r="D13" s="30">
        <v>20</v>
      </c>
      <c r="E13" s="30">
        <v>21</v>
      </c>
      <c r="F13" s="30">
        <v>22</v>
      </c>
      <c r="G13" s="30">
        <v>23</v>
      </c>
      <c r="H13" s="30">
        <v>24</v>
      </c>
    </row>
    <row r="14" spans="2:12">
      <c r="B14" s="30">
        <v>25</v>
      </c>
      <c r="C14" s="30">
        <v>26</v>
      </c>
      <c r="D14" s="30">
        <v>27</v>
      </c>
      <c r="E14" s="30">
        <v>28</v>
      </c>
      <c r="F14" s="30">
        <v>29</v>
      </c>
      <c r="G14" s="30">
        <v>30</v>
      </c>
      <c r="H14" s="30">
        <v>31</v>
      </c>
    </row>
    <row r="16" spans="2:12">
      <c r="B16" s="28" t="s">
        <v>240</v>
      </c>
    </row>
    <row r="17" spans="2:8">
      <c r="B17" s="29">
        <v>1</v>
      </c>
      <c r="C17" s="29">
        <v>2</v>
      </c>
      <c r="D17" s="29">
        <v>3</v>
      </c>
      <c r="E17" s="29">
        <v>4</v>
      </c>
      <c r="F17" s="29">
        <v>5</v>
      </c>
      <c r="G17" s="29">
        <v>6</v>
      </c>
      <c r="H17" s="29">
        <v>7</v>
      </c>
    </row>
    <row r="18" spans="2:8">
      <c r="B18" s="29">
        <v>8</v>
      </c>
      <c r="C18" s="29">
        <v>9</v>
      </c>
      <c r="D18" s="29">
        <v>10</v>
      </c>
      <c r="E18" s="29">
        <v>11</v>
      </c>
      <c r="F18" s="29">
        <v>12</v>
      </c>
      <c r="G18" s="29">
        <v>13</v>
      </c>
      <c r="H18" s="29">
        <v>14</v>
      </c>
    </row>
    <row r="19" spans="2:8">
      <c r="B19" s="29">
        <v>15</v>
      </c>
      <c r="C19" s="29">
        <v>16</v>
      </c>
      <c r="D19" s="29">
        <v>17</v>
      </c>
      <c r="E19" s="29">
        <v>18</v>
      </c>
      <c r="F19" s="29">
        <v>19</v>
      </c>
      <c r="G19" s="29">
        <v>20</v>
      </c>
      <c r="H19" s="29">
        <v>21</v>
      </c>
    </row>
    <row r="20" spans="2:8">
      <c r="B20" s="29">
        <v>22</v>
      </c>
      <c r="C20" s="29">
        <v>23</v>
      </c>
      <c r="D20" s="29">
        <v>24</v>
      </c>
      <c r="E20" s="29">
        <v>25</v>
      </c>
      <c r="F20" s="27">
        <v>26</v>
      </c>
      <c r="G20" s="27">
        <v>27</v>
      </c>
      <c r="H20" s="27">
        <v>28</v>
      </c>
    </row>
    <row r="21" spans="2:8">
      <c r="B21" s="27">
        <v>29</v>
      </c>
      <c r="C21" s="27">
        <v>30</v>
      </c>
      <c r="D21" s="24"/>
      <c r="E21" s="24"/>
      <c r="F21" s="24"/>
      <c r="G21" s="24"/>
      <c r="H21" s="24"/>
    </row>
    <row r="23" spans="2:8">
      <c r="B23" s="28" t="s">
        <v>239</v>
      </c>
    </row>
    <row r="24" spans="2:8">
      <c r="B24" s="24"/>
      <c r="C24" s="24"/>
      <c r="D24" s="27">
        <v>1</v>
      </c>
      <c r="E24" s="27">
        <v>2</v>
      </c>
      <c r="F24" s="27">
        <v>3</v>
      </c>
      <c r="G24" s="27">
        <v>4</v>
      </c>
      <c r="H24" s="27">
        <v>5</v>
      </c>
    </row>
    <row r="25" spans="2:8">
      <c r="B25" s="27">
        <v>6</v>
      </c>
      <c r="C25" s="27">
        <v>7</v>
      </c>
      <c r="D25" s="27">
        <v>8</v>
      </c>
      <c r="E25" s="27">
        <v>9</v>
      </c>
      <c r="F25" s="27">
        <v>10</v>
      </c>
      <c r="G25" s="27">
        <v>11</v>
      </c>
      <c r="H25" s="27">
        <v>12</v>
      </c>
    </row>
    <row r="26" spans="2:8">
      <c r="B26" s="27">
        <v>13</v>
      </c>
      <c r="C26" s="27">
        <v>14</v>
      </c>
      <c r="D26" s="27">
        <v>15</v>
      </c>
      <c r="E26" s="27">
        <v>16</v>
      </c>
      <c r="F26" s="26">
        <v>17</v>
      </c>
      <c r="G26" s="26">
        <v>18</v>
      </c>
      <c r="H26" s="26">
        <v>19</v>
      </c>
    </row>
    <row r="27" spans="2:8">
      <c r="B27" s="26">
        <v>20</v>
      </c>
      <c r="C27" s="26">
        <v>21</v>
      </c>
      <c r="D27" s="26">
        <v>22</v>
      </c>
      <c r="E27" s="26">
        <v>23</v>
      </c>
      <c r="F27" s="26">
        <v>24</v>
      </c>
      <c r="G27" s="26">
        <v>25</v>
      </c>
      <c r="H27" s="26">
        <v>26</v>
      </c>
    </row>
    <row r="28" spans="2:8">
      <c r="B28" s="26">
        <v>27</v>
      </c>
      <c r="C28" s="26">
        <v>28</v>
      </c>
      <c r="D28" s="26">
        <v>29</v>
      </c>
      <c r="E28" s="26">
        <v>30</v>
      </c>
      <c r="F28" s="25">
        <v>31</v>
      </c>
      <c r="G28" s="24"/>
      <c r="H28" s="24"/>
    </row>
  </sheetData>
  <phoneticPr fontId="1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タスク</vt:lpstr>
      <vt:lpstr>マイルストーン</vt:lpstr>
      <vt:lpstr>カレンダー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大翔 佐々木</cp:lastModifiedBy>
  <dcterms:modified xsi:type="dcterms:W3CDTF">2026-10-12T06:50:30Z</dcterms:modified>
</cp:coreProperties>
</file>