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GitHub\WinterGame_2026\outputs\20261012\"/>
    </mc:Choice>
  </mc:AlternateContent>
  <xr:revisionPtr revIDLastSave="0" documentId="13_ncr:1_{77213E5F-2BDC-464E-9F9B-1561569E2B1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サマリー" sheetId="1" r:id="rId1"/>
    <sheet name="タスク" sheetId="2" r:id="rId2"/>
    <sheet name="マイルストーン" sheetId="3" r:id="rId3"/>
    <sheet name="タスク一覧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F8" i="3"/>
  <c r="E8" i="3"/>
  <c r="D8" i="3"/>
  <c r="C8" i="3"/>
  <c r="F7" i="3"/>
  <c r="E7" i="3"/>
  <c r="D7" i="3"/>
  <c r="C15" i="1" s="1"/>
  <c r="C7" i="3"/>
  <c r="F6" i="3"/>
  <c r="E6" i="3"/>
  <c r="D6" i="3"/>
  <c r="C14" i="1" s="1"/>
  <c r="C6" i="3"/>
  <c r="F5" i="3"/>
  <c r="E5" i="3"/>
  <c r="D5" i="3"/>
  <c r="C13" i="1" s="1"/>
  <c r="C5" i="3"/>
  <c r="F4" i="3"/>
  <c r="E4" i="3"/>
  <c r="D4" i="3"/>
  <c r="C12" i="1" s="1"/>
  <c r="C4" i="3"/>
  <c r="AB300" i="2"/>
  <c r="AA300" i="2"/>
  <c r="AB299" i="2"/>
  <c r="AA299" i="2"/>
  <c r="AB298" i="2"/>
  <c r="AA298" i="2"/>
  <c r="AB297" i="2"/>
  <c r="AA297" i="2"/>
  <c r="AB296" i="2"/>
  <c r="AA296" i="2"/>
  <c r="AB295" i="2"/>
  <c r="AA295" i="2"/>
  <c r="AB294" i="2"/>
  <c r="AA294" i="2"/>
  <c r="AB293" i="2"/>
  <c r="AA293" i="2"/>
  <c r="AB292" i="2"/>
  <c r="AA292" i="2"/>
  <c r="AB291" i="2"/>
  <c r="AA291" i="2"/>
  <c r="AB290" i="2"/>
  <c r="AA290" i="2"/>
  <c r="AB289" i="2"/>
  <c r="AA289" i="2"/>
  <c r="AB288" i="2"/>
  <c r="AA288" i="2"/>
  <c r="AB287" i="2"/>
  <c r="AA287" i="2"/>
  <c r="AB286" i="2"/>
  <c r="AA286" i="2"/>
  <c r="AB285" i="2"/>
  <c r="AA285" i="2"/>
  <c r="AB284" i="2"/>
  <c r="AA284" i="2"/>
  <c r="AB283" i="2"/>
  <c r="AA283" i="2"/>
  <c r="AB282" i="2"/>
  <c r="AA282" i="2"/>
  <c r="AB281" i="2"/>
  <c r="AA281" i="2"/>
  <c r="AB280" i="2"/>
  <c r="AA280" i="2"/>
  <c r="AB279" i="2"/>
  <c r="AA279" i="2"/>
  <c r="AB278" i="2"/>
  <c r="AA278" i="2"/>
  <c r="AB277" i="2"/>
  <c r="AA277" i="2"/>
  <c r="AB276" i="2"/>
  <c r="AA276" i="2"/>
  <c r="AB275" i="2"/>
  <c r="AA275" i="2"/>
  <c r="AB274" i="2"/>
  <c r="AA274" i="2"/>
  <c r="AB273" i="2"/>
  <c r="AA273" i="2"/>
  <c r="AB272" i="2"/>
  <c r="AA272" i="2"/>
  <c r="AB271" i="2"/>
  <c r="AA271" i="2"/>
  <c r="AB270" i="2"/>
  <c r="AA270" i="2"/>
  <c r="AB269" i="2"/>
  <c r="AA269" i="2"/>
  <c r="AB268" i="2"/>
  <c r="AA268" i="2"/>
  <c r="AB267" i="2"/>
  <c r="AA267" i="2"/>
  <c r="AB266" i="2"/>
  <c r="AA266" i="2"/>
  <c r="AB265" i="2"/>
  <c r="AA265" i="2"/>
  <c r="AB264" i="2"/>
  <c r="AA264" i="2"/>
  <c r="AB263" i="2"/>
  <c r="AA263" i="2"/>
  <c r="AB262" i="2"/>
  <c r="AA262" i="2"/>
  <c r="AB261" i="2"/>
  <c r="AA261" i="2"/>
  <c r="AB260" i="2"/>
  <c r="AA260" i="2"/>
  <c r="AB259" i="2"/>
  <c r="AA259" i="2"/>
  <c r="AB258" i="2"/>
  <c r="AA258" i="2"/>
  <c r="AB257" i="2"/>
  <c r="AA257" i="2"/>
  <c r="AB256" i="2"/>
  <c r="AA256" i="2"/>
  <c r="AB255" i="2"/>
  <c r="AA255" i="2"/>
  <c r="AB254" i="2"/>
  <c r="AA254" i="2"/>
  <c r="AB253" i="2"/>
  <c r="AA253" i="2"/>
  <c r="AB252" i="2"/>
  <c r="AA252" i="2"/>
  <c r="AB251" i="2"/>
  <c r="AA251" i="2"/>
  <c r="AB250" i="2"/>
  <c r="AA250" i="2"/>
  <c r="AB249" i="2"/>
  <c r="AA249" i="2"/>
  <c r="AB248" i="2"/>
  <c r="AA248" i="2"/>
  <c r="AB247" i="2"/>
  <c r="AA247" i="2"/>
  <c r="AB246" i="2"/>
  <c r="AA246" i="2"/>
  <c r="AB245" i="2"/>
  <c r="AA245" i="2"/>
  <c r="AB244" i="2"/>
  <c r="AA244" i="2"/>
  <c r="AB243" i="2"/>
  <c r="AA243" i="2"/>
  <c r="AB242" i="2"/>
  <c r="AA242" i="2"/>
  <c r="AB241" i="2"/>
  <c r="AA241" i="2"/>
  <c r="AB240" i="2"/>
  <c r="AA240" i="2"/>
  <c r="AB239" i="2"/>
  <c r="AA239" i="2"/>
  <c r="AB238" i="2"/>
  <c r="AA238" i="2"/>
  <c r="AB237" i="2"/>
  <c r="AA237" i="2"/>
  <c r="AB236" i="2"/>
  <c r="AA236" i="2"/>
  <c r="AB235" i="2"/>
  <c r="AA235" i="2"/>
  <c r="AB234" i="2"/>
  <c r="AA234" i="2"/>
  <c r="AB233" i="2"/>
  <c r="AA233" i="2"/>
  <c r="AB232" i="2"/>
  <c r="AA232" i="2"/>
  <c r="AB231" i="2"/>
  <c r="AA231" i="2"/>
  <c r="AB230" i="2"/>
  <c r="AA230" i="2"/>
  <c r="AB229" i="2"/>
  <c r="AA229" i="2"/>
  <c r="AB228" i="2"/>
  <c r="AA228" i="2"/>
  <c r="AB227" i="2"/>
  <c r="AA227" i="2"/>
  <c r="AB226" i="2"/>
  <c r="AA226" i="2"/>
  <c r="AB225" i="2"/>
  <c r="AA225" i="2"/>
  <c r="AB224" i="2"/>
  <c r="AA224" i="2"/>
  <c r="AB223" i="2"/>
  <c r="AA223" i="2"/>
  <c r="AB222" i="2"/>
  <c r="AA222" i="2"/>
  <c r="AB221" i="2"/>
  <c r="AA221" i="2"/>
  <c r="AB220" i="2"/>
  <c r="AA220" i="2"/>
  <c r="AB219" i="2"/>
  <c r="AA219" i="2"/>
  <c r="AB218" i="2"/>
  <c r="AA218" i="2"/>
  <c r="AB217" i="2"/>
  <c r="AA217" i="2"/>
  <c r="AB216" i="2"/>
  <c r="AA216" i="2"/>
  <c r="AB215" i="2"/>
  <c r="AA215" i="2"/>
  <c r="AB214" i="2"/>
  <c r="AA214" i="2"/>
  <c r="AB213" i="2"/>
  <c r="AA213" i="2"/>
  <c r="AB212" i="2"/>
  <c r="AA212" i="2"/>
  <c r="AB211" i="2"/>
  <c r="AA211" i="2"/>
  <c r="AB210" i="2"/>
  <c r="AA210" i="2"/>
  <c r="AB209" i="2"/>
  <c r="AA209" i="2"/>
  <c r="AB208" i="2"/>
  <c r="AA208" i="2"/>
  <c r="AB207" i="2"/>
  <c r="AA207" i="2"/>
  <c r="AB206" i="2"/>
  <c r="AA206" i="2"/>
  <c r="AB205" i="2"/>
  <c r="AA205" i="2"/>
  <c r="AB204" i="2"/>
  <c r="AA204" i="2"/>
  <c r="AB203" i="2"/>
  <c r="AA203" i="2"/>
  <c r="AB202" i="2"/>
  <c r="AA202" i="2"/>
  <c r="AB201" i="2"/>
  <c r="AA201" i="2"/>
  <c r="AB200" i="2"/>
  <c r="AA200" i="2"/>
  <c r="AB199" i="2"/>
  <c r="AA199" i="2"/>
  <c r="AB198" i="2"/>
  <c r="AA198" i="2"/>
  <c r="AB197" i="2"/>
  <c r="AA197" i="2"/>
  <c r="AB196" i="2"/>
  <c r="AA196" i="2"/>
  <c r="AB195" i="2"/>
  <c r="AA195" i="2"/>
  <c r="AB194" i="2"/>
  <c r="AA194" i="2"/>
  <c r="AB193" i="2"/>
  <c r="AA193" i="2"/>
  <c r="AB192" i="2"/>
  <c r="AA192" i="2"/>
  <c r="AB191" i="2"/>
  <c r="AA191" i="2"/>
  <c r="AB190" i="2"/>
  <c r="AA190" i="2"/>
  <c r="AB189" i="2"/>
  <c r="AA189" i="2"/>
  <c r="AB188" i="2"/>
  <c r="AA188" i="2"/>
  <c r="AB187" i="2"/>
  <c r="AA187" i="2"/>
  <c r="AB186" i="2"/>
  <c r="AA186" i="2"/>
  <c r="AB185" i="2"/>
  <c r="AA185" i="2"/>
  <c r="AB184" i="2"/>
  <c r="AA184" i="2"/>
  <c r="AB183" i="2"/>
  <c r="AA183" i="2"/>
  <c r="AB182" i="2"/>
  <c r="AA182" i="2"/>
  <c r="AB181" i="2"/>
  <c r="AA181" i="2"/>
  <c r="AB180" i="2"/>
  <c r="AA180" i="2"/>
  <c r="AB179" i="2"/>
  <c r="AA179" i="2"/>
  <c r="AB178" i="2"/>
  <c r="AA178" i="2"/>
  <c r="AB177" i="2"/>
  <c r="AA177" i="2"/>
  <c r="AB176" i="2"/>
  <c r="AA176" i="2"/>
  <c r="AB175" i="2"/>
  <c r="AA175" i="2"/>
  <c r="AB174" i="2"/>
  <c r="AA174" i="2"/>
  <c r="AB173" i="2"/>
  <c r="AA173" i="2"/>
  <c r="AB172" i="2"/>
  <c r="AA172" i="2"/>
  <c r="AB171" i="2"/>
  <c r="AA171" i="2"/>
  <c r="AB170" i="2"/>
  <c r="AA170" i="2"/>
  <c r="AB169" i="2"/>
  <c r="AA169" i="2"/>
  <c r="AB168" i="2"/>
  <c r="AA168" i="2"/>
  <c r="AB167" i="2"/>
  <c r="AA167" i="2"/>
  <c r="AB166" i="2"/>
  <c r="AA166" i="2"/>
  <c r="AB165" i="2"/>
  <c r="AA165" i="2"/>
  <c r="AB164" i="2"/>
  <c r="AA164" i="2"/>
  <c r="AB163" i="2"/>
  <c r="AA163" i="2"/>
  <c r="AB162" i="2"/>
  <c r="AA162" i="2"/>
  <c r="AB161" i="2"/>
  <c r="AA161" i="2"/>
  <c r="AB160" i="2"/>
  <c r="AA160" i="2"/>
  <c r="AB159" i="2"/>
  <c r="AA159" i="2"/>
  <c r="AB158" i="2"/>
  <c r="AA158" i="2"/>
  <c r="AB157" i="2"/>
  <c r="AA157" i="2"/>
  <c r="AB156" i="2"/>
  <c r="AA156" i="2"/>
  <c r="AB155" i="2"/>
  <c r="AA155" i="2"/>
  <c r="AB154" i="2"/>
  <c r="AA154" i="2"/>
  <c r="AB153" i="2"/>
  <c r="AA153" i="2"/>
  <c r="AB152" i="2"/>
  <c r="AA152" i="2"/>
  <c r="AB151" i="2"/>
  <c r="AA151" i="2"/>
  <c r="AB150" i="2"/>
  <c r="AA150" i="2"/>
  <c r="AB149" i="2"/>
  <c r="AA149" i="2"/>
  <c r="AB148" i="2"/>
  <c r="AA148" i="2"/>
  <c r="AB147" i="2"/>
  <c r="AA147" i="2"/>
  <c r="AB146" i="2"/>
  <c r="AA146" i="2"/>
  <c r="AB145" i="2"/>
  <c r="AA145" i="2"/>
  <c r="AB144" i="2"/>
  <c r="AA144" i="2"/>
  <c r="AB143" i="2"/>
  <c r="AA143" i="2"/>
  <c r="AB142" i="2"/>
  <c r="AA142" i="2"/>
  <c r="AB141" i="2"/>
  <c r="AA141" i="2"/>
  <c r="AB140" i="2"/>
  <c r="AA140" i="2"/>
  <c r="AB139" i="2"/>
  <c r="AA139" i="2"/>
  <c r="AB138" i="2"/>
  <c r="AA138" i="2"/>
  <c r="AB137" i="2"/>
  <c r="AA137" i="2"/>
  <c r="AB136" i="2"/>
  <c r="AA136" i="2"/>
  <c r="AB135" i="2"/>
  <c r="AA135" i="2"/>
  <c r="AB134" i="2"/>
  <c r="AA134" i="2"/>
  <c r="AB133" i="2"/>
  <c r="AA133" i="2"/>
  <c r="AB132" i="2"/>
  <c r="AA132" i="2"/>
  <c r="AB131" i="2"/>
  <c r="AA131" i="2"/>
  <c r="AB130" i="2"/>
  <c r="AA130" i="2"/>
  <c r="AB129" i="2"/>
  <c r="AA129" i="2"/>
  <c r="AB128" i="2"/>
  <c r="AA128" i="2"/>
  <c r="AB127" i="2"/>
  <c r="AA127" i="2"/>
  <c r="AB126" i="2"/>
  <c r="AA126" i="2"/>
  <c r="AB125" i="2"/>
  <c r="AA125" i="2"/>
  <c r="AB124" i="2"/>
  <c r="AA124" i="2"/>
  <c r="AB123" i="2"/>
  <c r="AA123" i="2"/>
  <c r="AB122" i="2"/>
  <c r="AA122" i="2"/>
  <c r="AB121" i="2"/>
  <c r="AA121" i="2"/>
  <c r="AB120" i="2"/>
  <c r="AA120" i="2"/>
  <c r="AB119" i="2"/>
  <c r="AA119" i="2"/>
  <c r="AB118" i="2"/>
  <c r="AA118" i="2"/>
  <c r="AB117" i="2"/>
  <c r="AA117" i="2"/>
  <c r="AB116" i="2"/>
  <c r="AA116" i="2"/>
  <c r="AB115" i="2"/>
  <c r="AA115" i="2"/>
  <c r="AB114" i="2"/>
  <c r="AA114" i="2"/>
  <c r="AB113" i="2"/>
  <c r="AA113" i="2"/>
  <c r="AB112" i="2"/>
  <c r="AA112" i="2"/>
  <c r="AB111" i="2"/>
  <c r="AA111" i="2"/>
  <c r="AB110" i="2"/>
  <c r="AA110" i="2"/>
  <c r="AB109" i="2"/>
  <c r="AA109" i="2"/>
  <c r="AB108" i="2"/>
  <c r="AA108" i="2"/>
  <c r="AB107" i="2"/>
  <c r="AA107" i="2"/>
  <c r="AB106" i="2"/>
  <c r="AA106" i="2"/>
  <c r="AB105" i="2"/>
  <c r="AA105" i="2"/>
  <c r="AB104" i="2"/>
  <c r="AA104" i="2"/>
  <c r="AB103" i="2"/>
  <c r="AA103" i="2"/>
  <c r="AB102" i="2"/>
  <c r="AA102" i="2"/>
  <c r="AB101" i="2"/>
  <c r="AA101" i="2"/>
  <c r="AB100" i="2"/>
  <c r="AA100" i="2"/>
  <c r="AB99" i="2"/>
  <c r="AA99" i="2"/>
  <c r="AB98" i="2"/>
  <c r="AA98" i="2"/>
  <c r="AB97" i="2"/>
  <c r="AA97" i="2"/>
  <c r="AB96" i="2"/>
  <c r="AA96" i="2"/>
  <c r="AB95" i="2"/>
  <c r="AA95" i="2"/>
  <c r="AB94" i="2"/>
  <c r="AA94" i="2"/>
  <c r="AB93" i="2"/>
  <c r="AA93" i="2"/>
  <c r="AB92" i="2"/>
  <c r="AA92" i="2"/>
  <c r="AB91" i="2"/>
  <c r="AA91" i="2"/>
  <c r="AB90" i="2"/>
  <c r="AA90" i="2"/>
  <c r="AB89" i="2"/>
  <c r="AA89" i="2"/>
  <c r="AB88" i="2"/>
  <c r="AA88" i="2"/>
  <c r="AB87" i="2"/>
  <c r="AA87" i="2"/>
  <c r="AB86" i="2"/>
  <c r="AA86" i="2"/>
  <c r="AB85" i="2"/>
  <c r="AA85" i="2"/>
  <c r="AB84" i="2"/>
  <c r="AA84" i="2"/>
  <c r="AB83" i="2"/>
  <c r="AA83" i="2"/>
  <c r="AB82" i="2"/>
  <c r="AA82" i="2"/>
  <c r="AB81" i="2"/>
  <c r="AA81" i="2"/>
  <c r="AB80" i="2"/>
  <c r="AA80" i="2"/>
  <c r="AB79" i="2"/>
  <c r="AA79" i="2"/>
  <c r="AB78" i="2"/>
  <c r="AA78" i="2"/>
  <c r="AB77" i="2"/>
  <c r="AA77" i="2"/>
  <c r="AB76" i="2"/>
  <c r="AA76" i="2"/>
  <c r="AB75" i="2"/>
  <c r="AA75" i="2"/>
  <c r="AB74" i="2"/>
  <c r="AA74" i="2"/>
  <c r="AB73" i="2"/>
  <c r="AA73" i="2"/>
  <c r="AB72" i="2"/>
  <c r="AA72" i="2"/>
  <c r="AB71" i="2"/>
  <c r="AA71" i="2"/>
  <c r="AB70" i="2"/>
  <c r="AA70" i="2"/>
  <c r="AB69" i="2"/>
  <c r="AA69" i="2"/>
  <c r="AB68" i="2"/>
  <c r="AA68" i="2"/>
  <c r="AB67" i="2"/>
  <c r="AA67" i="2"/>
  <c r="AB66" i="2"/>
  <c r="AA66" i="2"/>
  <c r="AB65" i="2"/>
  <c r="AA65" i="2"/>
  <c r="AB64" i="2"/>
  <c r="AA64" i="2"/>
  <c r="AB63" i="2"/>
  <c r="AA63" i="2"/>
  <c r="AB62" i="2"/>
  <c r="AA62" i="2"/>
  <c r="AB61" i="2"/>
  <c r="AA61" i="2"/>
  <c r="AB60" i="2"/>
  <c r="AA60" i="2"/>
  <c r="AB59" i="2"/>
  <c r="AA59" i="2"/>
  <c r="AB58" i="2"/>
  <c r="AA58" i="2"/>
  <c r="AB57" i="2"/>
  <c r="AA57" i="2"/>
  <c r="AB56" i="2"/>
  <c r="AA56" i="2"/>
  <c r="AB55" i="2"/>
  <c r="AA55" i="2"/>
  <c r="AB54" i="2"/>
  <c r="AA54" i="2"/>
  <c r="AB53" i="2"/>
  <c r="AA53" i="2"/>
  <c r="AB52" i="2"/>
  <c r="AA52" i="2"/>
  <c r="AB51" i="2"/>
  <c r="AA51" i="2"/>
  <c r="AA50" i="2"/>
  <c r="AB50" i="2" s="1"/>
  <c r="AB49" i="2"/>
  <c r="AA49" i="2"/>
  <c r="AB48" i="2"/>
  <c r="AA48" i="2"/>
  <c r="AA47" i="2"/>
  <c r="AB47" i="2" s="1"/>
  <c r="AA46" i="2"/>
  <c r="AB46" i="2" s="1"/>
  <c r="AA45" i="2"/>
  <c r="AB45" i="2" s="1"/>
  <c r="AA44" i="2"/>
  <c r="AB44" i="2" s="1"/>
  <c r="AA43" i="2"/>
  <c r="AB43" i="2" s="1"/>
  <c r="AA42" i="2"/>
  <c r="AB42" i="2" s="1"/>
  <c r="AA41" i="2"/>
  <c r="AB41" i="2" s="1"/>
  <c r="AA40" i="2"/>
  <c r="AB40" i="2" s="1"/>
  <c r="AB39" i="2"/>
  <c r="AA39" i="2"/>
  <c r="AA38" i="2"/>
  <c r="AB38" i="2" s="1"/>
  <c r="AA37" i="2"/>
  <c r="AB37" i="2" s="1"/>
  <c r="AA36" i="2"/>
  <c r="AB36" i="2" s="1"/>
  <c r="AA35" i="2"/>
  <c r="AB35" i="2" s="1"/>
  <c r="AA34" i="2"/>
  <c r="AB34" i="2" s="1"/>
  <c r="AA33" i="2"/>
  <c r="AB33" i="2" s="1"/>
  <c r="AA32" i="2"/>
  <c r="AB32" i="2" s="1"/>
  <c r="AA31" i="2"/>
  <c r="AB31" i="2" s="1"/>
  <c r="AA30" i="2"/>
  <c r="AB30" i="2" s="1"/>
  <c r="AA29" i="2"/>
  <c r="AB29" i="2" s="1"/>
  <c r="AA28" i="2"/>
  <c r="AB28" i="2" s="1"/>
  <c r="AA27" i="2"/>
  <c r="AB27" i="2" s="1"/>
  <c r="AB26" i="2"/>
  <c r="AA26" i="2"/>
  <c r="AA25" i="2"/>
  <c r="AB25" i="2" s="1"/>
  <c r="AA24" i="2"/>
  <c r="AB24" i="2" s="1"/>
  <c r="AA23" i="2"/>
  <c r="AB23" i="2" s="1"/>
  <c r="AA22" i="2"/>
  <c r="AB22" i="2" s="1"/>
  <c r="AA21" i="2"/>
  <c r="AB21" i="2" s="1"/>
  <c r="AA20" i="2"/>
  <c r="AB20" i="2" s="1"/>
  <c r="AA19" i="2"/>
  <c r="AB19" i="2" s="1"/>
  <c r="AA18" i="2"/>
  <c r="AB18" i="2" s="1"/>
  <c r="AA17" i="2"/>
  <c r="AB17" i="2" s="1"/>
  <c r="AA16" i="2"/>
  <c r="AB16" i="2" s="1"/>
  <c r="AA15" i="2"/>
  <c r="AB15" i="2" s="1"/>
  <c r="AA14" i="2"/>
  <c r="AB14" i="2" s="1"/>
  <c r="AA13" i="2"/>
  <c r="AB13" i="2" s="1"/>
  <c r="AA12" i="2"/>
  <c r="AB12" i="2" s="1"/>
  <c r="AA11" i="2"/>
  <c r="AB11" i="2" s="1"/>
  <c r="AA10" i="2"/>
  <c r="AB10" i="2" s="1"/>
  <c r="AA9" i="2"/>
  <c r="AB9" i="2" s="1"/>
  <c r="AA8" i="2"/>
  <c r="AB8" i="2" s="1"/>
  <c r="AA7" i="2"/>
  <c r="AB7" i="2" s="1"/>
  <c r="AB6" i="2"/>
  <c r="AA6" i="2"/>
  <c r="AB5" i="2"/>
  <c r="AA5" i="2"/>
  <c r="D5" i="1"/>
  <c r="A5" i="1"/>
  <c r="G5" i="1" l="1"/>
  <c r="G5" i="3"/>
  <c r="D13" i="1" s="1"/>
  <c r="G4" i="3"/>
  <c r="D12" i="1" s="1"/>
  <c r="G8" i="3"/>
  <c r="H5" i="3"/>
  <c r="E13" i="1" s="1"/>
  <c r="G7" i="3"/>
  <c r="G6" i="3"/>
  <c r="H4" i="3"/>
  <c r="E12" i="1" s="1"/>
  <c r="C16" i="1"/>
  <c r="M5" i="1"/>
  <c r="I284" i="4"/>
  <c r="E284" i="4"/>
  <c r="G284" i="4"/>
  <c r="C284" i="4"/>
  <c r="D284" i="4"/>
  <c r="B284" i="4"/>
  <c r="E285" i="4"/>
  <c r="D293" i="4"/>
  <c r="H284" i="4"/>
  <c r="A290" i="4"/>
  <c r="J284" i="4"/>
  <c r="F284" i="4"/>
  <c r="C304" i="4"/>
  <c r="B304" i="4"/>
  <c r="A304" i="4"/>
  <c r="J303" i="4"/>
  <c r="I303" i="4"/>
  <c r="H303" i="4"/>
  <c r="G303" i="4"/>
  <c r="F303" i="4"/>
  <c r="E303" i="4"/>
  <c r="D303" i="4"/>
  <c r="C303" i="4"/>
  <c r="B303" i="4"/>
  <c r="A303" i="4"/>
  <c r="J302" i="4"/>
  <c r="I302" i="4"/>
  <c r="H302" i="4"/>
  <c r="G302" i="4"/>
  <c r="F302" i="4"/>
  <c r="E302" i="4"/>
  <c r="D302" i="4"/>
  <c r="C302" i="4"/>
  <c r="B302" i="4"/>
  <c r="A302" i="4"/>
  <c r="J301" i="4"/>
  <c r="I301" i="4"/>
  <c r="H301" i="4"/>
  <c r="G301" i="4"/>
  <c r="F301" i="4"/>
  <c r="E301" i="4"/>
  <c r="D301" i="4"/>
  <c r="C301" i="4"/>
  <c r="B301" i="4"/>
  <c r="A301" i="4"/>
  <c r="J300" i="4"/>
  <c r="I300" i="4"/>
  <c r="H300" i="4"/>
  <c r="G300" i="4"/>
  <c r="F300" i="4"/>
  <c r="E300" i="4"/>
  <c r="D300" i="4"/>
  <c r="C300" i="4"/>
  <c r="B300" i="4"/>
  <c r="A300" i="4"/>
  <c r="J299" i="4"/>
  <c r="I299" i="4"/>
  <c r="H299" i="4"/>
  <c r="G299" i="4"/>
  <c r="F299" i="4"/>
  <c r="E299" i="4"/>
  <c r="D299" i="4"/>
  <c r="I298" i="4"/>
  <c r="H298" i="4"/>
  <c r="D298" i="4"/>
  <c r="A298" i="4"/>
  <c r="D297" i="4"/>
  <c r="I296" i="4"/>
  <c r="D296" i="4"/>
  <c r="E295" i="4"/>
  <c r="H294" i="4"/>
  <c r="E292" i="4"/>
  <c r="F291" i="4"/>
  <c r="F290" i="4"/>
  <c r="D289" i="4"/>
  <c r="F288" i="4"/>
  <c r="J287" i="4"/>
  <c r="I286" i="4"/>
  <c r="C286" i="4"/>
  <c r="C285" i="4"/>
  <c r="A284" i="4"/>
  <c r="J283" i="4"/>
  <c r="I283" i="4"/>
  <c r="H283" i="4"/>
  <c r="G283" i="4"/>
  <c r="F283" i="4"/>
  <c r="E283" i="4"/>
  <c r="D283" i="4"/>
  <c r="C283" i="4"/>
  <c r="B283" i="4"/>
  <c r="A283" i="4"/>
  <c r="J282" i="4"/>
  <c r="I282" i="4"/>
  <c r="H282" i="4"/>
  <c r="G282" i="4"/>
  <c r="F282" i="4"/>
  <c r="E282" i="4"/>
  <c r="D282" i="4"/>
  <c r="C282" i="4"/>
  <c r="B282" i="4"/>
  <c r="A282" i="4"/>
  <c r="J281" i="4"/>
  <c r="I281" i="4"/>
  <c r="H281" i="4"/>
  <c r="G281" i="4"/>
  <c r="F281" i="4"/>
  <c r="E281" i="4"/>
  <c r="D281" i="4"/>
  <c r="C281" i="4"/>
  <c r="B281" i="4"/>
  <c r="A281" i="4"/>
  <c r="J280" i="4"/>
  <c r="I280" i="4"/>
  <c r="H280" i="4"/>
  <c r="G280" i="4"/>
  <c r="F280" i="4"/>
  <c r="E280" i="4"/>
  <c r="D280" i="4"/>
  <c r="C280" i="4"/>
  <c r="B280" i="4"/>
  <c r="A280" i="4"/>
  <c r="J279" i="4"/>
  <c r="I279" i="4"/>
  <c r="H279" i="4"/>
  <c r="G279" i="4"/>
  <c r="F279" i="4"/>
  <c r="E279" i="4"/>
  <c r="D279" i="4"/>
  <c r="C279" i="4"/>
  <c r="B279" i="4"/>
  <c r="A279" i="4"/>
  <c r="J278" i="4"/>
  <c r="I278" i="4"/>
  <c r="H278" i="4"/>
  <c r="G278" i="4"/>
  <c r="F278" i="4"/>
  <c r="E278" i="4"/>
  <c r="D278" i="4"/>
  <c r="C278" i="4"/>
  <c r="B278" i="4"/>
  <c r="A278" i="4"/>
  <c r="J277" i="4"/>
  <c r="I277" i="4"/>
  <c r="H277" i="4"/>
  <c r="G277" i="4"/>
  <c r="F277" i="4"/>
  <c r="E277" i="4"/>
  <c r="D277" i="4"/>
  <c r="C277" i="4"/>
  <c r="B277" i="4"/>
  <c r="A277" i="4"/>
  <c r="J276" i="4"/>
  <c r="I276" i="4"/>
  <c r="H276" i="4"/>
  <c r="G276" i="4"/>
  <c r="F276" i="4"/>
  <c r="E276" i="4"/>
  <c r="D276" i="4"/>
  <c r="C276" i="4"/>
  <c r="B276" i="4"/>
  <c r="A276" i="4"/>
  <c r="J275" i="4"/>
  <c r="I275" i="4"/>
  <c r="H275" i="4"/>
  <c r="G275" i="4"/>
  <c r="F275" i="4"/>
  <c r="E275" i="4"/>
  <c r="D275" i="4"/>
  <c r="C275" i="4"/>
  <c r="B275" i="4"/>
  <c r="A275" i="4"/>
  <c r="J274" i="4"/>
  <c r="I274" i="4"/>
  <c r="H274" i="4"/>
  <c r="G274" i="4"/>
  <c r="F274" i="4"/>
  <c r="E274" i="4"/>
  <c r="D274" i="4"/>
  <c r="C274" i="4"/>
  <c r="B274" i="4"/>
  <c r="A274" i="4"/>
  <c r="J273" i="4"/>
  <c r="I273" i="4"/>
  <c r="H273" i="4"/>
  <c r="G273" i="4"/>
  <c r="F273" i="4"/>
  <c r="E273" i="4"/>
  <c r="D273" i="4"/>
  <c r="C273" i="4"/>
  <c r="B273" i="4"/>
  <c r="A273" i="4"/>
  <c r="J272" i="4"/>
  <c r="I272" i="4"/>
  <c r="H272" i="4"/>
  <c r="G272" i="4"/>
  <c r="F272" i="4"/>
  <c r="E272" i="4"/>
  <c r="D272" i="4"/>
  <c r="C272" i="4"/>
  <c r="B272" i="4"/>
  <c r="A272" i="4"/>
  <c r="J271" i="4"/>
  <c r="I271" i="4"/>
  <c r="H271" i="4"/>
  <c r="G271" i="4"/>
  <c r="F271" i="4"/>
  <c r="E271" i="4"/>
  <c r="D271" i="4"/>
  <c r="C271" i="4"/>
  <c r="B271" i="4"/>
  <c r="A271" i="4"/>
  <c r="J270" i="4"/>
  <c r="I270" i="4"/>
  <c r="H270" i="4"/>
  <c r="G270" i="4"/>
  <c r="F270" i="4"/>
  <c r="E270" i="4"/>
  <c r="D270" i="4"/>
  <c r="C270" i="4"/>
  <c r="B270" i="4"/>
  <c r="A270" i="4"/>
  <c r="J269" i="4"/>
  <c r="I269" i="4"/>
  <c r="H269" i="4"/>
  <c r="G269" i="4"/>
  <c r="F269" i="4"/>
  <c r="E269" i="4"/>
  <c r="D269" i="4"/>
  <c r="C269" i="4"/>
  <c r="B269" i="4"/>
  <c r="A269" i="4"/>
  <c r="J268" i="4"/>
  <c r="I268" i="4"/>
  <c r="H268" i="4"/>
  <c r="G268" i="4"/>
  <c r="F268" i="4"/>
  <c r="E268" i="4"/>
  <c r="D268" i="4"/>
  <c r="C268" i="4"/>
  <c r="B268" i="4"/>
  <c r="A268" i="4"/>
  <c r="J267" i="4"/>
  <c r="I267" i="4"/>
  <c r="H267" i="4"/>
  <c r="G267" i="4"/>
  <c r="F267" i="4"/>
  <c r="E267" i="4"/>
  <c r="D267" i="4"/>
  <c r="C267" i="4"/>
  <c r="B267" i="4"/>
  <c r="A267" i="4"/>
  <c r="J266" i="4"/>
  <c r="I266" i="4"/>
  <c r="H266" i="4"/>
  <c r="G266" i="4"/>
  <c r="F266" i="4"/>
  <c r="E266" i="4"/>
  <c r="D266" i="4"/>
  <c r="C266" i="4"/>
  <c r="B266" i="4"/>
  <c r="A266" i="4"/>
  <c r="J265" i="4"/>
  <c r="I265" i="4"/>
  <c r="H265" i="4"/>
  <c r="G265" i="4"/>
  <c r="F265" i="4"/>
  <c r="E265" i="4"/>
  <c r="D265" i="4"/>
  <c r="C265" i="4"/>
  <c r="B265" i="4"/>
  <c r="A265" i="4"/>
  <c r="J264" i="4"/>
  <c r="I264" i="4"/>
  <c r="H264" i="4"/>
  <c r="G264" i="4"/>
  <c r="F264" i="4"/>
  <c r="E264" i="4"/>
  <c r="D264" i="4"/>
  <c r="C264" i="4"/>
  <c r="B264" i="4"/>
  <c r="A264" i="4"/>
  <c r="J263" i="4"/>
  <c r="I263" i="4"/>
  <c r="H263" i="4"/>
  <c r="G263" i="4"/>
  <c r="F263" i="4"/>
  <c r="E263" i="4"/>
  <c r="D263" i="4"/>
  <c r="C263" i="4"/>
  <c r="B263" i="4"/>
  <c r="A263" i="4"/>
  <c r="J262" i="4"/>
  <c r="I262" i="4"/>
  <c r="H262" i="4"/>
  <c r="G262" i="4"/>
  <c r="F262" i="4"/>
  <c r="E262" i="4"/>
  <c r="D262" i="4"/>
  <c r="C262" i="4"/>
  <c r="B262" i="4"/>
  <c r="A262" i="4"/>
  <c r="J261" i="4"/>
  <c r="I261" i="4"/>
  <c r="H261" i="4"/>
  <c r="G261" i="4"/>
  <c r="F261" i="4"/>
  <c r="E261" i="4"/>
  <c r="D261" i="4"/>
  <c r="C261" i="4"/>
  <c r="H240" i="4"/>
  <c r="F240" i="4"/>
  <c r="D240" i="4"/>
  <c r="B240" i="4"/>
  <c r="J239" i="4"/>
  <c r="H239" i="4"/>
  <c r="F239" i="4"/>
  <c r="D239" i="4"/>
  <c r="B239" i="4"/>
  <c r="I238" i="4"/>
  <c r="G238" i="4"/>
  <c r="E238" i="4"/>
  <c r="J298" i="4"/>
  <c r="G298" i="4"/>
  <c r="B298" i="4"/>
  <c r="E297" i="4"/>
  <c r="J296" i="4"/>
  <c r="E296" i="4"/>
  <c r="H295" i="4"/>
  <c r="I294" i="4"/>
  <c r="A294" i="4"/>
  <c r="E293" i="4"/>
  <c r="F292" i="4"/>
  <c r="I291" i="4"/>
  <c r="A291" i="4"/>
  <c r="B290" i="4"/>
  <c r="C289" i="4"/>
  <c r="E288" i="4"/>
  <c r="G287" i="4"/>
  <c r="J286" i="4"/>
  <c r="B286" i="4"/>
  <c r="A285" i="4"/>
  <c r="B261" i="4"/>
  <c r="A261" i="4"/>
  <c r="J260" i="4"/>
  <c r="I260" i="4"/>
  <c r="H260" i="4"/>
  <c r="G260" i="4"/>
  <c r="F260" i="4"/>
  <c r="E260" i="4"/>
  <c r="D260" i="4"/>
  <c r="C260" i="4"/>
  <c r="B260" i="4"/>
  <c r="A260" i="4"/>
  <c r="J259" i="4"/>
  <c r="I259" i="4"/>
  <c r="H259" i="4"/>
  <c r="G259" i="4"/>
  <c r="F259" i="4"/>
  <c r="E259" i="4"/>
  <c r="D259" i="4"/>
  <c r="C259" i="4"/>
  <c r="B259" i="4"/>
  <c r="A259" i="4"/>
  <c r="J258" i="4"/>
  <c r="I258" i="4"/>
  <c r="H258" i="4"/>
  <c r="G258" i="4"/>
  <c r="F258" i="4"/>
  <c r="E258" i="4"/>
  <c r="D258" i="4"/>
  <c r="C258" i="4"/>
  <c r="B258" i="4"/>
  <c r="A258" i="4"/>
  <c r="J257" i="4"/>
  <c r="I257" i="4"/>
  <c r="H257" i="4"/>
  <c r="G257" i="4"/>
  <c r="F257" i="4"/>
  <c r="E257" i="4"/>
  <c r="D257" i="4"/>
  <c r="C257" i="4"/>
  <c r="B257" i="4"/>
  <c r="A257" i="4"/>
  <c r="J256" i="4"/>
  <c r="I256" i="4"/>
  <c r="H256" i="4"/>
  <c r="G256" i="4"/>
  <c r="F256" i="4"/>
  <c r="E256" i="4"/>
  <c r="D256" i="4"/>
  <c r="C256" i="4"/>
  <c r="B256" i="4"/>
  <c r="A256" i="4"/>
  <c r="J255" i="4"/>
  <c r="I255" i="4"/>
  <c r="H255" i="4"/>
  <c r="G255" i="4"/>
  <c r="F255" i="4"/>
  <c r="E255" i="4"/>
  <c r="D255" i="4"/>
  <c r="C255" i="4"/>
  <c r="B255" i="4"/>
  <c r="A255" i="4"/>
  <c r="J254" i="4"/>
  <c r="I254" i="4"/>
  <c r="H254" i="4"/>
  <c r="G254" i="4"/>
  <c r="F254" i="4"/>
  <c r="E254" i="4"/>
  <c r="D254" i="4"/>
  <c r="C254" i="4"/>
  <c r="B254" i="4"/>
  <c r="A254" i="4"/>
  <c r="J253" i="4"/>
  <c r="I253" i="4"/>
  <c r="H253" i="4"/>
  <c r="G253" i="4"/>
  <c r="F253" i="4"/>
  <c r="E253" i="4"/>
  <c r="D253" i="4"/>
  <c r="C253" i="4"/>
  <c r="B253" i="4"/>
  <c r="A253" i="4"/>
  <c r="J252" i="4"/>
  <c r="I252" i="4"/>
  <c r="H252" i="4"/>
  <c r="G252" i="4"/>
  <c r="F252" i="4"/>
  <c r="E252" i="4"/>
  <c r="D252" i="4"/>
  <c r="C252" i="4"/>
  <c r="B252" i="4"/>
  <c r="A252" i="4"/>
  <c r="J251" i="4"/>
  <c r="I251" i="4"/>
  <c r="H251" i="4"/>
  <c r="G251" i="4"/>
  <c r="F251" i="4"/>
  <c r="E251" i="4"/>
  <c r="D251" i="4"/>
  <c r="C251" i="4"/>
  <c r="B251" i="4"/>
  <c r="A251" i="4"/>
  <c r="J250" i="4"/>
  <c r="I250" i="4"/>
  <c r="H250" i="4"/>
  <c r="G250" i="4"/>
  <c r="F250" i="4"/>
  <c r="E250" i="4"/>
  <c r="D250" i="4"/>
  <c r="C250" i="4"/>
  <c r="B250" i="4"/>
  <c r="A250" i="4"/>
  <c r="J249" i="4"/>
  <c r="I249" i="4"/>
  <c r="H249" i="4"/>
  <c r="G249" i="4"/>
  <c r="F249" i="4"/>
  <c r="E249" i="4"/>
  <c r="D249" i="4"/>
  <c r="C249" i="4"/>
  <c r="B249" i="4"/>
  <c r="A249" i="4"/>
  <c r="J248" i="4"/>
  <c r="I248" i="4"/>
  <c r="H248" i="4"/>
  <c r="G248" i="4"/>
  <c r="F248" i="4"/>
  <c r="E248" i="4"/>
  <c r="D248" i="4"/>
  <c r="C248" i="4"/>
  <c r="B248" i="4"/>
  <c r="A248" i="4"/>
  <c r="J247" i="4"/>
  <c r="I247" i="4"/>
  <c r="H247" i="4"/>
  <c r="G247" i="4"/>
  <c r="F247" i="4"/>
  <c r="E247" i="4"/>
  <c r="D247" i="4"/>
  <c r="C247" i="4"/>
  <c r="B247" i="4"/>
  <c r="A247" i="4"/>
  <c r="J246" i="4"/>
  <c r="I246" i="4"/>
  <c r="H246" i="4"/>
  <c r="G246" i="4"/>
  <c r="F246" i="4"/>
  <c r="E246" i="4"/>
  <c r="D246" i="4"/>
  <c r="C246" i="4"/>
  <c r="B246" i="4"/>
  <c r="A246" i="4"/>
  <c r="J245" i="4"/>
  <c r="I245" i="4"/>
  <c r="H245" i="4"/>
  <c r="G245" i="4"/>
  <c r="F245" i="4"/>
  <c r="E245" i="4"/>
  <c r="D245" i="4"/>
  <c r="C245" i="4"/>
  <c r="B245" i="4"/>
  <c r="A245" i="4"/>
  <c r="J244" i="4"/>
  <c r="I244" i="4"/>
  <c r="H244" i="4"/>
  <c r="G244" i="4"/>
  <c r="F244" i="4"/>
  <c r="E244" i="4"/>
  <c r="D244" i="4"/>
  <c r="C244" i="4"/>
  <c r="B244" i="4"/>
  <c r="A244" i="4"/>
  <c r="J243" i="4"/>
  <c r="I243" i="4"/>
  <c r="H243" i="4"/>
  <c r="G243" i="4"/>
  <c r="F243" i="4"/>
  <c r="E243" i="4"/>
  <c r="D243" i="4"/>
  <c r="C243" i="4"/>
  <c r="B243" i="4"/>
  <c r="A243" i="4"/>
  <c r="J242" i="4"/>
  <c r="I242" i="4"/>
  <c r="H242" i="4"/>
  <c r="G242" i="4"/>
  <c r="F242" i="4"/>
  <c r="E242" i="4"/>
  <c r="D242" i="4"/>
  <c r="C242" i="4"/>
  <c r="B242" i="4"/>
  <c r="A242" i="4"/>
  <c r="J241" i="4"/>
  <c r="I241" i="4"/>
  <c r="H241" i="4"/>
  <c r="G241" i="4"/>
  <c r="F241" i="4"/>
  <c r="E241" i="4"/>
  <c r="D241" i="4"/>
  <c r="C241" i="4"/>
  <c r="B241" i="4"/>
  <c r="A241" i="4"/>
  <c r="J240" i="4"/>
  <c r="I240" i="4"/>
  <c r="G240" i="4"/>
  <c r="E240" i="4"/>
  <c r="C240" i="4"/>
  <c r="A240" i="4"/>
  <c r="I239" i="4"/>
  <c r="G239" i="4"/>
  <c r="E239" i="4"/>
  <c r="C239" i="4"/>
  <c r="A239" i="4"/>
  <c r="J238" i="4"/>
  <c r="H238" i="4"/>
  <c r="F238" i="4"/>
  <c r="D238" i="4"/>
  <c r="A299" i="4"/>
  <c r="C298" i="4"/>
  <c r="G297" i="4"/>
  <c r="A297" i="4"/>
  <c r="F296" i="4"/>
  <c r="I295" i="4"/>
  <c r="J294" i="4"/>
  <c r="C294" i="4"/>
  <c r="G293" i="4"/>
  <c r="H292" i="4"/>
  <c r="A292" i="4"/>
  <c r="B291" i="4"/>
  <c r="H289" i="4"/>
  <c r="J288" i="4"/>
  <c r="B288" i="4"/>
  <c r="D287" i="4"/>
  <c r="H286" i="4"/>
  <c r="J285" i="4"/>
  <c r="B285" i="4"/>
  <c r="C238" i="4"/>
  <c r="B238" i="4"/>
  <c r="A238" i="4"/>
  <c r="J237" i="4"/>
  <c r="I237" i="4"/>
  <c r="H237" i="4"/>
  <c r="G237" i="4"/>
  <c r="F237" i="4"/>
  <c r="E237" i="4"/>
  <c r="D237" i="4"/>
  <c r="C237" i="4"/>
  <c r="B237" i="4"/>
  <c r="A237" i="4"/>
  <c r="J236" i="4"/>
  <c r="I236" i="4"/>
  <c r="H236" i="4"/>
  <c r="G236" i="4"/>
  <c r="F236" i="4"/>
  <c r="E236" i="4"/>
  <c r="D236" i="4"/>
  <c r="C236" i="4"/>
  <c r="B236" i="4"/>
  <c r="A236" i="4"/>
  <c r="J235" i="4"/>
  <c r="I235" i="4"/>
  <c r="H235" i="4"/>
  <c r="G235" i="4"/>
  <c r="F235" i="4"/>
  <c r="E235" i="4"/>
  <c r="D235" i="4"/>
  <c r="C235" i="4"/>
  <c r="B235" i="4"/>
  <c r="A235" i="4"/>
  <c r="J234" i="4"/>
  <c r="I234" i="4"/>
  <c r="H234" i="4"/>
  <c r="G234" i="4"/>
  <c r="F234" i="4"/>
  <c r="E234" i="4"/>
  <c r="D234" i="4"/>
  <c r="C234" i="4"/>
  <c r="B234" i="4"/>
  <c r="A234" i="4"/>
  <c r="J233" i="4"/>
  <c r="I233" i="4"/>
  <c r="H233" i="4"/>
  <c r="G233" i="4"/>
  <c r="F233" i="4"/>
  <c r="E233" i="4"/>
  <c r="D233" i="4"/>
  <c r="C233" i="4"/>
  <c r="B233" i="4"/>
  <c r="A233" i="4"/>
  <c r="J232" i="4"/>
  <c r="I232" i="4"/>
  <c r="H232" i="4"/>
  <c r="G232" i="4"/>
  <c r="F232" i="4"/>
  <c r="E232" i="4"/>
  <c r="D232" i="4"/>
  <c r="C232" i="4"/>
  <c r="B232" i="4"/>
  <c r="A232" i="4"/>
  <c r="J231" i="4"/>
  <c r="I231" i="4"/>
  <c r="H231" i="4"/>
  <c r="G231" i="4"/>
  <c r="F231" i="4"/>
  <c r="E231" i="4"/>
  <c r="D231" i="4"/>
  <c r="C231" i="4"/>
  <c r="B231" i="4"/>
  <c r="A231" i="4"/>
  <c r="J230" i="4"/>
  <c r="I230" i="4"/>
  <c r="H230" i="4"/>
  <c r="G230" i="4"/>
  <c r="F230" i="4"/>
  <c r="E230" i="4"/>
  <c r="D230" i="4"/>
  <c r="C230" i="4"/>
  <c r="B230" i="4"/>
  <c r="A230" i="4"/>
  <c r="J229" i="4"/>
  <c r="I229" i="4"/>
  <c r="H229" i="4"/>
  <c r="G229" i="4"/>
  <c r="F229" i="4"/>
  <c r="E229" i="4"/>
  <c r="D229" i="4"/>
  <c r="C229" i="4"/>
  <c r="B229" i="4"/>
  <c r="A229" i="4"/>
  <c r="J228" i="4"/>
  <c r="I228" i="4"/>
  <c r="H228" i="4"/>
  <c r="G228" i="4"/>
  <c r="F228" i="4"/>
  <c r="E228" i="4"/>
  <c r="D228" i="4"/>
  <c r="C228" i="4"/>
  <c r="B228" i="4"/>
  <c r="A228" i="4"/>
  <c r="J227" i="4"/>
  <c r="I227" i="4"/>
  <c r="H227" i="4"/>
  <c r="G227" i="4"/>
  <c r="F227" i="4"/>
  <c r="E227" i="4"/>
  <c r="D227" i="4"/>
  <c r="C227" i="4"/>
  <c r="B227" i="4"/>
  <c r="A227" i="4"/>
  <c r="J226" i="4"/>
  <c r="I226" i="4"/>
  <c r="H226" i="4"/>
  <c r="G226" i="4"/>
  <c r="F226" i="4"/>
  <c r="E226" i="4"/>
  <c r="D226" i="4"/>
  <c r="C226" i="4"/>
  <c r="B226" i="4"/>
  <c r="A226" i="4"/>
  <c r="J225" i="4"/>
  <c r="I225" i="4"/>
  <c r="H225" i="4"/>
  <c r="G225" i="4"/>
  <c r="F225" i="4"/>
  <c r="E225" i="4"/>
  <c r="D225" i="4"/>
  <c r="C225" i="4"/>
  <c r="B225" i="4"/>
  <c r="A225" i="4"/>
  <c r="J224" i="4"/>
  <c r="I224" i="4"/>
  <c r="H224" i="4"/>
  <c r="G224" i="4"/>
  <c r="F224" i="4"/>
  <c r="E224" i="4"/>
  <c r="D224" i="4"/>
  <c r="C224" i="4"/>
  <c r="B224" i="4"/>
  <c r="A224" i="4"/>
  <c r="J223" i="4"/>
  <c r="I223" i="4"/>
  <c r="H223" i="4"/>
  <c r="G223" i="4"/>
  <c r="F223" i="4"/>
  <c r="E223" i="4"/>
  <c r="D223" i="4"/>
  <c r="C223" i="4"/>
  <c r="B223" i="4"/>
  <c r="A223" i="4"/>
  <c r="J222" i="4"/>
  <c r="I222" i="4"/>
  <c r="H222" i="4"/>
  <c r="G222" i="4"/>
  <c r="F222" i="4"/>
  <c r="E222" i="4"/>
  <c r="D222" i="4"/>
  <c r="C222" i="4"/>
  <c r="B222" i="4"/>
  <c r="A222" i="4"/>
  <c r="J221" i="4"/>
  <c r="I221" i="4"/>
  <c r="H221" i="4"/>
  <c r="G221" i="4"/>
  <c r="F221" i="4"/>
  <c r="E221" i="4"/>
  <c r="D221" i="4"/>
  <c r="C221" i="4"/>
  <c r="B221" i="4"/>
  <c r="A221" i="4"/>
  <c r="J220" i="4"/>
  <c r="I220" i="4"/>
  <c r="H220" i="4"/>
  <c r="G220" i="4"/>
  <c r="F220" i="4"/>
  <c r="E220" i="4"/>
  <c r="D220" i="4"/>
  <c r="C220" i="4"/>
  <c r="B220" i="4"/>
  <c r="A220" i="4"/>
  <c r="J219" i="4"/>
  <c r="I219" i="4"/>
  <c r="H219" i="4"/>
  <c r="G219" i="4"/>
  <c r="F219" i="4"/>
  <c r="E219" i="4"/>
  <c r="D219" i="4"/>
  <c r="C219" i="4"/>
  <c r="B219" i="4"/>
  <c r="A219" i="4"/>
  <c r="J218" i="4"/>
  <c r="I218" i="4"/>
  <c r="H218" i="4"/>
  <c r="G218" i="4"/>
  <c r="F218" i="4"/>
  <c r="E218" i="4"/>
  <c r="D218" i="4"/>
  <c r="C218" i="4"/>
  <c r="B218" i="4"/>
  <c r="A218" i="4"/>
  <c r="J217" i="4"/>
  <c r="I217" i="4"/>
  <c r="H217" i="4"/>
  <c r="G217" i="4"/>
  <c r="F217" i="4"/>
  <c r="E217" i="4"/>
  <c r="D217" i="4"/>
  <c r="C217" i="4"/>
  <c r="B217" i="4"/>
  <c r="A217" i="4"/>
  <c r="J216" i="4"/>
  <c r="I216" i="4"/>
  <c r="H216" i="4"/>
  <c r="G216" i="4"/>
  <c r="F216" i="4"/>
  <c r="E216" i="4"/>
  <c r="D216" i="4"/>
  <c r="C216" i="4"/>
  <c r="B216" i="4"/>
  <c r="A216" i="4"/>
  <c r="J215" i="4"/>
  <c r="I215" i="4"/>
  <c r="H215" i="4"/>
  <c r="G215" i="4"/>
  <c r="F215" i="4"/>
  <c r="E215" i="4"/>
  <c r="C162" i="4"/>
  <c r="J161" i="4"/>
  <c r="G161" i="4"/>
  <c r="D161" i="4"/>
  <c r="B161" i="4"/>
  <c r="I160" i="4"/>
  <c r="G160" i="4"/>
  <c r="D160" i="4"/>
  <c r="A160" i="4"/>
  <c r="H159" i="4"/>
  <c r="E159" i="4"/>
  <c r="B159" i="4"/>
  <c r="J158" i="4"/>
  <c r="G158" i="4"/>
  <c r="D158" i="4"/>
  <c r="A158" i="4"/>
  <c r="H157" i="4"/>
  <c r="E157" i="4"/>
  <c r="B157" i="4"/>
  <c r="I156" i="4"/>
  <c r="F156" i="4"/>
  <c r="C156" i="4"/>
  <c r="A156" i="4"/>
  <c r="H155" i="4"/>
  <c r="E155" i="4"/>
  <c r="B155" i="4"/>
  <c r="I154" i="4"/>
  <c r="F154" i="4"/>
  <c r="C154" i="4"/>
  <c r="J153" i="4"/>
  <c r="H153" i="4"/>
  <c r="E153" i="4"/>
  <c r="B153" i="4"/>
  <c r="I152" i="4"/>
  <c r="F152" i="4"/>
  <c r="C152" i="4"/>
  <c r="J151" i="4"/>
  <c r="G151" i="4"/>
  <c r="D151" i="4"/>
  <c r="A151" i="4"/>
  <c r="H150" i="4"/>
  <c r="E150" i="4"/>
  <c r="B150" i="4"/>
  <c r="I149" i="4"/>
  <c r="F149" i="4"/>
  <c r="C149" i="4"/>
  <c r="A149" i="4"/>
  <c r="H148" i="4"/>
  <c r="E148" i="4"/>
  <c r="C148" i="4"/>
  <c r="J147" i="4"/>
  <c r="G147" i="4"/>
  <c r="D147" i="4"/>
  <c r="A147" i="4"/>
  <c r="H146" i="4"/>
  <c r="G135" i="4"/>
  <c r="C135" i="4"/>
  <c r="I134" i="4"/>
  <c r="E134" i="4"/>
  <c r="A134" i="4"/>
  <c r="G133" i="4"/>
  <c r="C133" i="4"/>
  <c r="I132" i="4"/>
  <c r="E132" i="4"/>
  <c r="A132" i="4"/>
  <c r="G131" i="4"/>
  <c r="C131" i="4"/>
  <c r="A131" i="4"/>
  <c r="G130" i="4"/>
  <c r="D130" i="4"/>
  <c r="J129" i="4"/>
  <c r="F129" i="4"/>
  <c r="B129" i="4"/>
  <c r="I128" i="4"/>
  <c r="F128" i="4"/>
  <c r="B128" i="4"/>
  <c r="H127" i="4"/>
  <c r="E127" i="4"/>
  <c r="A127" i="4"/>
  <c r="H126" i="4"/>
  <c r="E126" i="4"/>
  <c r="B126" i="4"/>
  <c r="A126" i="4"/>
  <c r="H125" i="4"/>
  <c r="E125" i="4"/>
  <c r="B125" i="4"/>
  <c r="I124" i="4"/>
  <c r="G124" i="4"/>
  <c r="D124" i="4"/>
  <c r="A124" i="4"/>
  <c r="C104" i="4"/>
  <c r="I103" i="4"/>
  <c r="E103" i="4"/>
  <c r="A103" i="4"/>
  <c r="G102" i="4"/>
  <c r="C102" i="4"/>
  <c r="I101" i="4"/>
  <c r="E101" i="4"/>
  <c r="A101" i="4"/>
  <c r="C78" i="4"/>
  <c r="F55" i="4"/>
  <c r="F295" i="4"/>
  <c r="B293" i="4"/>
  <c r="H291" i="4"/>
  <c r="G290" i="4"/>
  <c r="G289" i="4"/>
  <c r="I288" i="4"/>
  <c r="A288" i="4"/>
  <c r="C287" i="4"/>
  <c r="E286" i="4"/>
  <c r="G285" i="4"/>
  <c r="D215" i="4"/>
  <c r="C215" i="4"/>
  <c r="B215" i="4"/>
  <c r="A215" i="4"/>
  <c r="J214" i="4"/>
  <c r="I214" i="4"/>
  <c r="H214" i="4"/>
  <c r="G214" i="4"/>
  <c r="F214" i="4"/>
  <c r="E214" i="4"/>
  <c r="D214" i="4"/>
  <c r="C214" i="4"/>
  <c r="B214" i="4"/>
  <c r="A214" i="4"/>
  <c r="J213" i="4"/>
  <c r="I213" i="4"/>
  <c r="H213" i="4"/>
  <c r="G213" i="4"/>
  <c r="F213" i="4"/>
  <c r="E213" i="4"/>
  <c r="D213" i="4"/>
  <c r="C213" i="4"/>
  <c r="B213" i="4"/>
  <c r="A213" i="4"/>
  <c r="J212" i="4"/>
  <c r="I212" i="4"/>
  <c r="H212" i="4"/>
  <c r="G212" i="4"/>
  <c r="F212" i="4"/>
  <c r="E212" i="4"/>
  <c r="D212" i="4"/>
  <c r="C212" i="4"/>
  <c r="B212" i="4"/>
  <c r="A212" i="4"/>
  <c r="J211" i="4"/>
  <c r="I211" i="4"/>
  <c r="H211" i="4"/>
  <c r="G211" i="4"/>
  <c r="F211" i="4"/>
  <c r="E211" i="4"/>
  <c r="D211" i="4"/>
  <c r="C211" i="4"/>
  <c r="B211" i="4"/>
  <c r="A211" i="4"/>
  <c r="J210" i="4"/>
  <c r="I210" i="4"/>
  <c r="H210" i="4"/>
  <c r="G210" i="4"/>
  <c r="F210" i="4"/>
  <c r="E210" i="4"/>
  <c r="D210" i="4"/>
  <c r="C210" i="4"/>
  <c r="B210" i="4"/>
  <c r="A210" i="4"/>
  <c r="J209" i="4"/>
  <c r="I209" i="4"/>
  <c r="H209" i="4"/>
  <c r="G209" i="4"/>
  <c r="F209" i="4"/>
  <c r="E209" i="4"/>
  <c r="D209" i="4"/>
  <c r="C209" i="4"/>
  <c r="B209" i="4"/>
  <c r="A209" i="4"/>
  <c r="J208" i="4"/>
  <c r="I208" i="4"/>
  <c r="H208" i="4"/>
  <c r="G208" i="4"/>
  <c r="F208" i="4"/>
  <c r="E208" i="4"/>
  <c r="D208" i="4"/>
  <c r="C208" i="4"/>
  <c r="B208" i="4"/>
  <c r="A208" i="4"/>
  <c r="J207" i="4"/>
  <c r="I207" i="4"/>
  <c r="H207" i="4"/>
  <c r="G207" i="4"/>
  <c r="F207" i="4"/>
  <c r="E207" i="4"/>
  <c r="D207" i="4"/>
  <c r="C207" i="4"/>
  <c r="B207" i="4"/>
  <c r="A207" i="4"/>
  <c r="J206" i="4"/>
  <c r="I206" i="4"/>
  <c r="H206" i="4"/>
  <c r="G206" i="4"/>
  <c r="F206" i="4"/>
  <c r="E206" i="4"/>
  <c r="D206" i="4"/>
  <c r="C206" i="4"/>
  <c r="B206" i="4"/>
  <c r="A206" i="4"/>
  <c r="J205" i="4"/>
  <c r="I205" i="4"/>
  <c r="H205" i="4"/>
  <c r="G205" i="4"/>
  <c r="F205" i="4"/>
  <c r="E205" i="4"/>
  <c r="D205" i="4"/>
  <c r="C205" i="4"/>
  <c r="B205" i="4"/>
  <c r="A205" i="4"/>
  <c r="J204" i="4"/>
  <c r="I204" i="4"/>
  <c r="H204" i="4"/>
  <c r="G204" i="4"/>
  <c r="F204" i="4"/>
  <c r="E204" i="4"/>
  <c r="D204" i="4"/>
  <c r="C204" i="4"/>
  <c r="B204" i="4"/>
  <c r="A204" i="4"/>
  <c r="J203" i="4"/>
  <c r="I203" i="4"/>
  <c r="H203" i="4"/>
  <c r="G203" i="4"/>
  <c r="F203" i="4"/>
  <c r="E203" i="4"/>
  <c r="D203" i="4"/>
  <c r="C203" i="4"/>
  <c r="B203" i="4"/>
  <c r="A203" i="4"/>
  <c r="J202" i="4"/>
  <c r="I202" i="4"/>
  <c r="H202" i="4"/>
  <c r="G202" i="4"/>
  <c r="F202" i="4"/>
  <c r="E202" i="4"/>
  <c r="D202" i="4"/>
  <c r="C202" i="4"/>
  <c r="B202" i="4"/>
  <c r="A202" i="4"/>
  <c r="J201" i="4"/>
  <c r="I201" i="4"/>
  <c r="H201" i="4"/>
  <c r="G201" i="4"/>
  <c r="F201" i="4"/>
  <c r="E201" i="4"/>
  <c r="D201" i="4"/>
  <c r="C201" i="4"/>
  <c r="B201" i="4"/>
  <c r="A201" i="4"/>
  <c r="J200" i="4"/>
  <c r="I200" i="4"/>
  <c r="H200" i="4"/>
  <c r="G200" i="4"/>
  <c r="F200" i="4"/>
  <c r="E200" i="4"/>
  <c r="D200" i="4"/>
  <c r="C200" i="4"/>
  <c r="B200" i="4"/>
  <c r="A200" i="4"/>
  <c r="J199" i="4"/>
  <c r="I199" i="4"/>
  <c r="H199" i="4"/>
  <c r="G199" i="4"/>
  <c r="F199" i="4"/>
  <c r="E199" i="4"/>
  <c r="D199" i="4"/>
  <c r="C199" i="4"/>
  <c r="B199" i="4"/>
  <c r="A199" i="4"/>
  <c r="J198" i="4"/>
  <c r="I198" i="4"/>
  <c r="H198" i="4"/>
  <c r="G198" i="4"/>
  <c r="F198" i="4"/>
  <c r="E198" i="4"/>
  <c r="D198" i="4"/>
  <c r="C198" i="4"/>
  <c r="B198" i="4"/>
  <c r="A198" i="4"/>
  <c r="J197" i="4"/>
  <c r="I197" i="4"/>
  <c r="H197" i="4"/>
  <c r="G197" i="4"/>
  <c r="F197" i="4"/>
  <c r="E197" i="4"/>
  <c r="D197" i="4"/>
  <c r="C197" i="4"/>
  <c r="B197" i="4"/>
  <c r="A197" i="4"/>
  <c r="J196" i="4"/>
  <c r="I196" i="4"/>
  <c r="H196" i="4"/>
  <c r="G196" i="4"/>
  <c r="F196" i="4"/>
  <c r="E196" i="4"/>
  <c r="D196" i="4"/>
  <c r="C196" i="4"/>
  <c r="B196" i="4"/>
  <c r="A196" i="4"/>
  <c r="J195" i="4"/>
  <c r="I195" i="4"/>
  <c r="H195" i="4"/>
  <c r="G195" i="4"/>
  <c r="F195" i="4"/>
  <c r="E195" i="4"/>
  <c r="D195" i="4"/>
  <c r="C195" i="4"/>
  <c r="B195" i="4"/>
  <c r="A195" i="4"/>
  <c r="J194" i="4"/>
  <c r="I194" i="4"/>
  <c r="H194" i="4"/>
  <c r="G194" i="4"/>
  <c r="F194" i="4"/>
  <c r="E194" i="4"/>
  <c r="D194" i="4"/>
  <c r="C194" i="4"/>
  <c r="B194" i="4"/>
  <c r="A194" i="4"/>
  <c r="J193" i="4"/>
  <c r="I193" i="4"/>
  <c r="H193" i="4"/>
  <c r="G193" i="4"/>
  <c r="F193" i="4"/>
  <c r="E193" i="4"/>
  <c r="D193" i="4"/>
  <c r="C193" i="4"/>
  <c r="B193" i="4"/>
  <c r="A193" i="4"/>
  <c r="J192" i="4"/>
  <c r="I192" i="4"/>
  <c r="H192" i="4"/>
  <c r="G192" i="4"/>
  <c r="F192" i="4"/>
  <c r="F170" i="4"/>
  <c r="D170" i="4"/>
  <c r="B170" i="4"/>
  <c r="J169" i="4"/>
  <c r="H169" i="4"/>
  <c r="E169" i="4"/>
  <c r="C169" i="4"/>
  <c r="J168" i="4"/>
  <c r="H168" i="4"/>
  <c r="F168" i="4"/>
  <c r="D168" i="4"/>
  <c r="B168" i="4"/>
  <c r="J167" i="4"/>
  <c r="H167" i="4"/>
  <c r="F167" i="4"/>
  <c r="C167" i="4"/>
  <c r="A167" i="4"/>
  <c r="I166" i="4"/>
  <c r="G166" i="4"/>
  <c r="D166" i="4"/>
  <c r="B166" i="4"/>
  <c r="J165" i="4"/>
  <c r="H165" i="4"/>
  <c r="F165" i="4"/>
  <c r="D165" i="4"/>
  <c r="B165" i="4"/>
  <c r="J164" i="4"/>
  <c r="H164" i="4"/>
  <c r="E164" i="4"/>
  <c r="C164" i="4"/>
  <c r="B164" i="4"/>
  <c r="J163" i="4"/>
  <c r="H163" i="4"/>
  <c r="F163" i="4"/>
  <c r="D163" i="4"/>
  <c r="B163" i="4"/>
  <c r="J162" i="4"/>
  <c r="H162" i="4"/>
  <c r="F162" i="4"/>
  <c r="D162" i="4"/>
  <c r="A162" i="4"/>
  <c r="H161" i="4"/>
  <c r="E161" i="4"/>
  <c r="A161" i="4"/>
  <c r="H160" i="4"/>
  <c r="E160" i="4"/>
  <c r="B160" i="4"/>
  <c r="I159" i="4"/>
  <c r="F159" i="4"/>
  <c r="C159" i="4"/>
  <c r="I158" i="4"/>
  <c r="F158" i="4"/>
  <c r="C158" i="4"/>
  <c r="J157" i="4"/>
  <c r="G157" i="4"/>
  <c r="D157" i="4"/>
  <c r="A157" i="4"/>
  <c r="H156" i="4"/>
  <c r="E156" i="4"/>
  <c r="B156" i="4"/>
  <c r="I155" i="4"/>
  <c r="F155" i="4"/>
  <c r="D155" i="4"/>
  <c r="A155" i="4"/>
  <c r="H154" i="4"/>
  <c r="E154" i="4"/>
  <c r="B154" i="4"/>
  <c r="I153" i="4"/>
  <c r="F153" i="4"/>
  <c r="C153" i="4"/>
  <c r="J152" i="4"/>
  <c r="G152" i="4"/>
  <c r="D152" i="4"/>
  <c r="A152" i="4"/>
  <c r="H151" i="4"/>
  <c r="E151" i="4"/>
  <c r="B151" i="4"/>
  <c r="I150" i="4"/>
  <c r="F150" i="4"/>
  <c r="C150" i="4"/>
  <c r="J149" i="4"/>
  <c r="G149" i="4"/>
  <c r="D149" i="4"/>
  <c r="J148" i="4"/>
  <c r="G148" i="4"/>
  <c r="D148" i="4"/>
  <c r="B148" i="4"/>
  <c r="I147" i="4"/>
  <c r="F147" i="4"/>
  <c r="C147" i="4"/>
  <c r="J146" i="4"/>
  <c r="H135" i="4"/>
  <c r="D135" i="4"/>
  <c r="J134" i="4"/>
  <c r="F134" i="4"/>
  <c r="B134" i="4"/>
  <c r="H133" i="4"/>
  <c r="E133" i="4"/>
  <c r="J132" i="4"/>
  <c r="F132" i="4"/>
  <c r="B132" i="4"/>
  <c r="I131" i="4"/>
  <c r="E131" i="4"/>
  <c r="I130" i="4"/>
  <c r="E130" i="4"/>
  <c r="B130" i="4"/>
  <c r="H129" i="4"/>
  <c r="D129" i="4"/>
  <c r="J128" i="4"/>
  <c r="E128" i="4"/>
  <c r="A128" i="4"/>
  <c r="I127" i="4"/>
  <c r="D127" i="4"/>
  <c r="I123" i="4"/>
  <c r="A104" i="4"/>
  <c r="G103" i="4"/>
  <c r="C103" i="4"/>
  <c r="I102" i="4"/>
  <c r="E102" i="4"/>
  <c r="A102" i="4"/>
  <c r="G101" i="4"/>
  <c r="C101" i="4"/>
  <c r="D78" i="4"/>
  <c r="D55" i="4"/>
  <c r="J297" i="4"/>
  <c r="C296" i="4"/>
  <c r="C295" i="4"/>
  <c r="E294" i="4"/>
  <c r="J293" i="4"/>
  <c r="C293" i="4"/>
  <c r="D292" i="4"/>
  <c r="E291" i="4"/>
  <c r="H290" i="4"/>
  <c r="I289" i="4"/>
  <c r="B289" i="4"/>
  <c r="D288" i="4"/>
  <c r="F287" i="4"/>
  <c r="A287" i="4"/>
  <c r="A286" i="4"/>
  <c r="D285" i="4"/>
  <c r="E192" i="4"/>
  <c r="D192" i="4"/>
  <c r="C192" i="4"/>
  <c r="B192" i="4"/>
  <c r="A192" i="4"/>
  <c r="J191" i="4"/>
  <c r="I191" i="4"/>
  <c r="H191" i="4"/>
  <c r="G191" i="4"/>
  <c r="F191" i="4"/>
  <c r="E191" i="4"/>
  <c r="D191" i="4"/>
  <c r="C191" i="4"/>
  <c r="B191" i="4"/>
  <c r="A191" i="4"/>
  <c r="J190" i="4"/>
  <c r="I190" i="4"/>
  <c r="H190" i="4"/>
  <c r="G190" i="4"/>
  <c r="F190" i="4"/>
  <c r="E190" i="4"/>
  <c r="D190" i="4"/>
  <c r="C190" i="4"/>
  <c r="B190" i="4"/>
  <c r="A190" i="4"/>
  <c r="J189" i="4"/>
  <c r="I189" i="4"/>
  <c r="H189" i="4"/>
  <c r="G189" i="4"/>
  <c r="F189" i="4"/>
  <c r="E189" i="4"/>
  <c r="D189" i="4"/>
  <c r="C189" i="4"/>
  <c r="B189" i="4"/>
  <c r="A189" i="4"/>
  <c r="J188" i="4"/>
  <c r="I188" i="4"/>
  <c r="H188" i="4"/>
  <c r="G188" i="4"/>
  <c r="F188" i="4"/>
  <c r="E188" i="4"/>
  <c r="D188" i="4"/>
  <c r="C188" i="4"/>
  <c r="B188" i="4"/>
  <c r="A188" i="4"/>
  <c r="J187" i="4"/>
  <c r="I187" i="4"/>
  <c r="H187" i="4"/>
  <c r="G187" i="4"/>
  <c r="F187" i="4"/>
  <c r="E187" i="4"/>
  <c r="D187" i="4"/>
  <c r="C187" i="4"/>
  <c r="B187" i="4"/>
  <c r="A187" i="4"/>
  <c r="J186" i="4"/>
  <c r="I186" i="4"/>
  <c r="H186" i="4"/>
  <c r="G186" i="4"/>
  <c r="F186" i="4"/>
  <c r="E186" i="4"/>
  <c r="D186" i="4"/>
  <c r="C186" i="4"/>
  <c r="B186" i="4"/>
  <c r="A186" i="4"/>
  <c r="J185" i="4"/>
  <c r="I185" i="4"/>
  <c r="H185" i="4"/>
  <c r="G185" i="4"/>
  <c r="F185" i="4"/>
  <c r="E185" i="4"/>
  <c r="D185" i="4"/>
  <c r="C185" i="4"/>
  <c r="B185" i="4"/>
  <c r="A185" i="4"/>
  <c r="J184" i="4"/>
  <c r="I184" i="4"/>
  <c r="H184" i="4"/>
  <c r="G184" i="4"/>
  <c r="F184" i="4"/>
  <c r="E184" i="4"/>
  <c r="D184" i="4"/>
  <c r="C184" i="4"/>
  <c r="B184" i="4"/>
  <c r="A184" i="4"/>
  <c r="J183" i="4"/>
  <c r="I183" i="4"/>
  <c r="H183" i="4"/>
  <c r="G183" i="4"/>
  <c r="F183" i="4"/>
  <c r="E183" i="4"/>
  <c r="D183" i="4"/>
  <c r="C183" i="4"/>
  <c r="B183" i="4"/>
  <c r="A183" i="4"/>
  <c r="J182" i="4"/>
  <c r="I182" i="4"/>
  <c r="H182" i="4"/>
  <c r="G182" i="4"/>
  <c r="F182" i="4"/>
  <c r="E182" i="4"/>
  <c r="D182" i="4"/>
  <c r="C182" i="4"/>
  <c r="B182" i="4"/>
  <c r="A182" i="4"/>
  <c r="J181" i="4"/>
  <c r="I181" i="4"/>
  <c r="H181" i="4"/>
  <c r="G181" i="4"/>
  <c r="F181" i="4"/>
  <c r="E181" i="4"/>
  <c r="D181" i="4"/>
  <c r="C181" i="4"/>
  <c r="B181" i="4"/>
  <c r="A181" i="4"/>
  <c r="J180" i="4"/>
  <c r="I180" i="4"/>
  <c r="H180" i="4"/>
  <c r="G180" i="4"/>
  <c r="F180" i="4"/>
  <c r="E180" i="4"/>
  <c r="D180" i="4"/>
  <c r="C180" i="4"/>
  <c r="B180" i="4"/>
  <c r="A180" i="4"/>
  <c r="J179" i="4"/>
  <c r="I179" i="4"/>
  <c r="H179" i="4"/>
  <c r="G179" i="4"/>
  <c r="F179" i="4"/>
  <c r="E179" i="4"/>
  <c r="D179" i="4"/>
  <c r="C179" i="4"/>
  <c r="B179" i="4"/>
  <c r="A179" i="4"/>
  <c r="J178" i="4"/>
  <c r="I178" i="4"/>
  <c r="H178" i="4"/>
  <c r="G178" i="4"/>
  <c r="F178" i="4"/>
  <c r="E178" i="4"/>
  <c r="D178" i="4"/>
  <c r="C178" i="4"/>
  <c r="B178" i="4"/>
  <c r="A178" i="4"/>
  <c r="J177" i="4"/>
  <c r="I177" i="4"/>
  <c r="H177" i="4"/>
  <c r="G177" i="4"/>
  <c r="F177" i="4"/>
  <c r="E177" i="4"/>
  <c r="D177" i="4"/>
  <c r="C177" i="4"/>
  <c r="B177" i="4"/>
  <c r="A177" i="4"/>
  <c r="J176" i="4"/>
  <c r="I176" i="4"/>
  <c r="H176" i="4"/>
  <c r="G176" i="4"/>
  <c r="F176" i="4"/>
  <c r="E176" i="4"/>
  <c r="D176" i="4"/>
  <c r="C176" i="4"/>
  <c r="B176" i="4"/>
  <c r="A176" i="4"/>
  <c r="J175" i="4"/>
  <c r="I175" i="4"/>
  <c r="H175" i="4"/>
  <c r="G175" i="4"/>
  <c r="F175" i="4"/>
  <c r="E175" i="4"/>
  <c r="D175" i="4"/>
  <c r="C175" i="4"/>
  <c r="B175" i="4"/>
  <c r="A175" i="4"/>
  <c r="J174" i="4"/>
  <c r="I174" i="4"/>
  <c r="H174" i="4"/>
  <c r="G174" i="4"/>
  <c r="F174" i="4"/>
  <c r="E174" i="4"/>
  <c r="D174" i="4"/>
  <c r="C174" i="4"/>
  <c r="B174" i="4"/>
  <c r="A174" i="4"/>
  <c r="J173" i="4"/>
  <c r="I173" i="4"/>
  <c r="H173" i="4"/>
  <c r="G173" i="4"/>
  <c r="F173" i="4"/>
  <c r="E173" i="4"/>
  <c r="D173" i="4"/>
  <c r="C173" i="4"/>
  <c r="B173" i="4"/>
  <c r="A173" i="4"/>
  <c r="J172" i="4"/>
  <c r="I172" i="4"/>
  <c r="H172" i="4"/>
  <c r="G172" i="4"/>
  <c r="F172" i="4"/>
  <c r="E172" i="4"/>
  <c r="D172" i="4"/>
  <c r="C172" i="4"/>
  <c r="B172" i="4"/>
  <c r="A172" i="4"/>
  <c r="J171" i="4"/>
  <c r="I171" i="4"/>
  <c r="H171" i="4"/>
  <c r="G171" i="4"/>
  <c r="F171" i="4"/>
  <c r="E171" i="4"/>
  <c r="D171" i="4"/>
  <c r="C171" i="4"/>
  <c r="B171" i="4"/>
  <c r="A171" i="4"/>
  <c r="J170" i="4"/>
  <c r="I170" i="4"/>
  <c r="H170" i="4"/>
  <c r="G170" i="4"/>
  <c r="E170" i="4"/>
  <c r="C170" i="4"/>
  <c r="A170" i="4"/>
  <c r="I169" i="4"/>
  <c r="G169" i="4"/>
  <c r="D169" i="4"/>
  <c r="B169" i="4"/>
  <c r="A169" i="4"/>
  <c r="I168" i="4"/>
  <c r="G168" i="4"/>
  <c r="E168" i="4"/>
  <c r="C168" i="4"/>
  <c r="A168" i="4"/>
  <c r="I167" i="4"/>
  <c r="G167" i="4"/>
  <c r="E167" i="4"/>
  <c r="D167" i="4"/>
  <c r="B167" i="4"/>
  <c r="J166" i="4"/>
  <c r="H166" i="4"/>
  <c r="F166" i="4"/>
  <c r="E166" i="4"/>
  <c r="C166" i="4"/>
  <c r="A166" i="4"/>
  <c r="I165" i="4"/>
  <c r="G165" i="4"/>
  <c r="E165" i="4"/>
  <c r="C165" i="4"/>
  <c r="A165" i="4"/>
  <c r="I164" i="4"/>
  <c r="G164" i="4"/>
  <c r="F164" i="4"/>
  <c r="D164" i="4"/>
  <c r="A164" i="4"/>
  <c r="I163" i="4"/>
  <c r="G163" i="4"/>
  <c r="E163" i="4"/>
  <c r="C163" i="4"/>
  <c r="A163" i="4"/>
  <c r="I162" i="4"/>
  <c r="G162" i="4"/>
  <c r="E162" i="4"/>
  <c r="B162" i="4"/>
  <c r="I161" i="4"/>
  <c r="F161" i="4"/>
  <c r="C161" i="4"/>
  <c r="J160" i="4"/>
  <c r="F160" i="4"/>
  <c r="C160" i="4"/>
  <c r="J159" i="4"/>
  <c r="G159" i="4"/>
  <c r="D159" i="4"/>
  <c r="A159" i="4"/>
  <c r="H158" i="4"/>
  <c r="E158" i="4"/>
  <c r="B158" i="4"/>
  <c r="I157" i="4"/>
  <c r="F157" i="4"/>
  <c r="C157" i="4"/>
  <c r="J156" i="4"/>
  <c r="G156" i="4"/>
  <c r="D156" i="4"/>
  <c r="J155" i="4"/>
  <c r="G155" i="4"/>
  <c r="C155" i="4"/>
  <c r="J154" i="4"/>
  <c r="G154" i="4"/>
  <c r="D154" i="4"/>
  <c r="A154" i="4"/>
  <c r="G153" i="4"/>
  <c r="D153" i="4"/>
  <c r="A153" i="4"/>
  <c r="H152" i="4"/>
  <c r="E152" i="4"/>
  <c r="B152" i="4"/>
  <c r="I151" i="4"/>
  <c r="F151" i="4"/>
  <c r="C151" i="4"/>
  <c r="J150" i="4"/>
  <c r="G150" i="4"/>
  <c r="D150" i="4"/>
  <c r="A150" i="4"/>
  <c r="H149" i="4"/>
  <c r="E149" i="4"/>
  <c r="B149" i="4"/>
  <c r="I148" i="4"/>
  <c r="F148" i="4"/>
  <c r="A148" i="4"/>
  <c r="H147" i="4"/>
  <c r="E147" i="4"/>
  <c r="B147" i="4"/>
  <c r="I146" i="4"/>
  <c r="F135" i="4"/>
  <c r="B135" i="4"/>
  <c r="H134" i="4"/>
  <c r="D134" i="4"/>
  <c r="J133" i="4"/>
  <c r="F133" i="4"/>
  <c r="B133" i="4"/>
  <c r="H132" i="4"/>
  <c r="D132" i="4"/>
  <c r="J131" i="4"/>
  <c r="F131" i="4"/>
  <c r="B131" i="4"/>
  <c r="H130" i="4"/>
  <c r="C130" i="4"/>
  <c r="I129" i="4"/>
  <c r="E129" i="4"/>
  <c r="A129" i="4"/>
  <c r="G128" i="4"/>
  <c r="C128" i="4"/>
  <c r="G127" i="4"/>
  <c r="C127" i="4"/>
  <c r="I126" i="4"/>
  <c r="G126" i="4"/>
  <c r="D126" i="4"/>
  <c r="J125" i="4"/>
  <c r="F125" i="4"/>
  <c r="C125" i="4"/>
  <c r="J124" i="4"/>
  <c r="F124" i="4"/>
  <c r="C124" i="4"/>
  <c r="J123" i="4"/>
  <c r="E290" i="4"/>
  <c r="G286" i="4"/>
  <c r="H285" i="4"/>
  <c r="F169" i="4"/>
  <c r="J306" i="4"/>
  <c r="I306" i="4"/>
  <c r="H306" i="4"/>
  <c r="G306" i="4"/>
  <c r="F306" i="4"/>
  <c r="E306" i="4"/>
  <c r="D306" i="4"/>
  <c r="C306" i="4"/>
  <c r="B306" i="4"/>
  <c r="A306" i="4"/>
  <c r="J305" i="4"/>
  <c r="I305" i="4"/>
  <c r="H305" i="4"/>
  <c r="G305" i="4"/>
  <c r="F305" i="4"/>
  <c r="E305" i="4"/>
  <c r="D305" i="4"/>
  <c r="C305" i="4"/>
  <c r="C299" i="4"/>
  <c r="E298" i="4"/>
  <c r="I297" i="4"/>
  <c r="C297" i="4"/>
  <c r="G296" i="4"/>
  <c r="A296" i="4"/>
  <c r="B295" i="4"/>
  <c r="B294" i="4"/>
  <c r="F293" i="4"/>
  <c r="I292" i="4"/>
  <c r="C292" i="4"/>
  <c r="C291" i="4"/>
  <c r="D290" i="4"/>
  <c r="F289" i="4"/>
  <c r="H288" i="4"/>
  <c r="H287" i="4"/>
  <c r="B287" i="4"/>
  <c r="D286" i="4"/>
  <c r="F285" i="4"/>
  <c r="G146" i="4"/>
  <c r="F146" i="4"/>
  <c r="E146" i="4"/>
  <c r="D146" i="4"/>
  <c r="C146" i="4"/>
  <c r="B146" i="4"/>
  <c r="A146" i="4"/>
  <c r="J145" i="4"/>
  <c r="I145" i="4"/>
  <c r="H145" i="4"/>
  <c r="G145" i="4"/>
  <c r="F145" i="4"/>
  <c r="E145" i="4"/>
  <c r="D145" i="4"/>
  <c r="C145" i="4"/>
  <c r="B145" i="4"/>
  <c r="A145" i="4"/>
  <c r="J144" i="4"/>
  <c r="I144" i="4"/>
  <c r="H144" i="4"/>
  <c r="G144" i="4"/>
  <c r="F144" i="4"/>
  <c r="E144" i="4"/>
  <c r="D144" i="4"/>
  <c r="C144" i="4"/>
  <c r="B144" i="4"/>
  <c r="A144" i="4"/>
  <c r="J143" i="4"/>
  <c r="I143" i="4"/>
  <c r="H143" i="4"/>
  <c r="G143" i="4"/>
  <c r="F143" i="4"/>
  <c r="E143" i="4"/>
  <c r="D143" i="4"/>
  <c r="C143" i="4"/>
  <c r="B143" i="4"/>
  <c r="A143" i="4"/>
  <c r="J142" i="4"/>
  <c r="I142" i="4"/>
  <c r="H142" i="4"/>
  <c r="G142" i="4"/>
  <c r="F142" i="4"/>
  <c r="E142" i="4"/>
  <c r="D142" i="4"/>
  <c r="C142" i="4"/>
  <c r="B142" i="4"/>
  <c r="A142" i="4"/>
  <c r="J141" i="4"/>
  <c r="I141" i="4"/>
  <c r="H141" i="4"/>
  <c r="G141" i="4"/>
  <c r="F141" i="4"/>
  <c r="E141" i="4"/>
  <c r="D141" i="4"/>
  <c r="C141" i="4"/>
  <c r="B141" i="4"/>
  <c r="A141" i="4"/>
  <c r="J140" i="4"/>
  <c r="I140" i="4"/>
  <c r="H140" i="4"/>
  <c r="G140" i="4"/>
  <c r="F140" i="4"/>
  <c r="E140" i="4"/>
  <c r="D140" i="4"/>
  <c r="C140" i="4"/>
  <c r="B140" i="4"/>
  <c r="A140" i="4"/>
  <c r="J139" i="4"/>
  <c r="I139" i="4"/>
  <c r="H139" i="4"/>
  <c r="G139" i="4"/>
  <c r="F139" i="4"/>
  <c r="E139" i="4"/>
  <c r="D139" i="4"/>
  <c r="C139" i="4"/>
  <c r="B139" i="4"/>
  <c r="A139" i="4"/>
  <c r="J138" i="4"/>
  <c r="I138" i="4"/>
  <c r="H138" i="4"/>
  <c r="G138" i="4"/>
  <c r="F138" i="4"/>
  <c r="E138" i="4"/>
  <c r="D138" i="4"/>
  <c r="C138" i="4"/>
  <c r="B138" i="4"/>
  <c r="A138" i="4"/>
  <c r="J137" i="4"/>
  <c r="I137" i="4"/>
  <c r="H137" i="4"/>
  <c r="G137" i="4"/>
  <c r="F137" i="4"/>
  <c r="E137" i="4"/>
  <c r="D137" i="4"/>
  <c r="C137" i="4"/>
  <c r="B137" i="4"/>
  <c r="A137" i="4"/>
  <c r="J136" i="4"/>
  <c r="I136" i="4"/>
  <c r="H136" i="4"/>
  <c r="G136" i="4"/>
  <c r="F136" i="4"/>
  <c r="E136" i="4"/>
  <c r="D136" i="4"/>
  <c r="C136" i="4"/>
  <c r="B136" i="4"/>
  <c r="A136" i="4"/>
  <c r="J135" i="4"/>
  <c r="I135" i="4"/>
  <c r="E135" i="4"/>
  <c r="A135" i="4"/>
  <c r="G134" i="4"/>
  <c r="C134" i="4"/>
  <c r="I133" i="4"/>
  <c r="D133" i="4"/>
  <c r="A133" i="4"/>
  <c r="G132" i="4"/>
  <c r="C132" i="4"/>
  <c r="H131" i="4"/>
  <c r="D131" i="4"/>
  <c r="J130" i="4"/>
  <c r="F130" i="4"/>
  <c r="A130" i="4"/>
  <c r="G129" i="4"/>
  <c r="C129" i="4"/>
  <c r="H128" i="4"/>
  <c r="D128" i="4"/>
  <c r="J127" i="4"/>
  <c r="F127" i="4"/>
  <c r="B127" i="4"/>
  <c r="J126" i="4"/>
  <c r="F126" i="4"/>
  <c r="C126" i="4"/>
  <c r="I125" i="4"/>
  <c r="G125" i="4"/>
  <c r="D125" i="4"/>
  <c r="A125" i="4"/>
  <c r="H124" i="4"/>
  <c r="E124" i="4"/>
  <c r="B124" i="4"/>
  <c r="D104" i="4"/>
  <c r="J103" i="4"/>
  <c r="F103" i="4"/>
  <c r="B103" i="4"/>
  <c r="H102" i="4"/>
  <c r="D102" i="4"/>
  <c r="J101" i="4"/>
  <c r="F101" i="4"/>
  <c r="B101" i="4"/>
  <c r="E78" i="4"/>
  <c r="E55" i="4"/>
  <c r="B299" i="4"/>
  <c r="F298" i="4"/>
  <c r="H297" i="4"/>
  <c r="B297" i="4"/>
  <c r="H296" i="4"/>
  <c r="J295" i="4"/>
  <c r="A295" i="4"/>
  <c r="D294" i="4"/>
  <c r="H293" i="4"/>
  <c r="J292" i="4"/>
  <c r="B292" i="4"/>
  <c r="D291" i="4"/>
  <c r="C290" i="4"/>
  <c r="E289" i="4"/>
  <c r="G288" i="4"/>
  <c r="I287" i="4"/>
  <c r="H123" i="4"/>
  <c r="G123" i="4"/>
  <c r="F123" i="4"/>
  <c r="E123" i="4"/>
  <c r="D123" i="4"/>
  <c r="C123" i="4"/>
  <c r="B123" i="4"/>
  <c r="A123" i="4"/>
  <c r="J122" i="4"/>
  <c r="I122" i="4"/>
  <c r="H122" i="4"/>
  <c r="G122" i="4"/>
  <c r="F122" i="4"/>
  <c r="E122" i="4"/>
  <c r="D122" i="4"/>
  <c r="C122" i="4"/>
  <c r="B122" i="4"/>
  <c r="A122" i="4"/>
  <c r="J121" i="4"/>
  <c r="I121" i="4"/>
  <c r="H121" i="4"/>
  <c r="G121" i="4"/>
  <c r="F121" i="4"/>
  <c r="E121" i="4"/>
  <c r="D121" i="4"/>
  <c r="C121" i="4"/>
  <c r="B121" i="4"/>
  <c r="A121" i="4"/>
  <c r="J120" i="4"/>
  <c r="I120" i="4"/>
  <c r="H120" i="4"/>
  <c r="G120" i="4"/>
  <c r="F120" i="4"/>
  <c r="E120" i="4"/>
  <c r="D120" i="4"/>
  <c r="C120" i="4"/>
  <c r="B120" i="4"/>
  <c r="A120" i="4"/>
  <c r="J119" i="4"/>
  <c r="I119" i="4"/>
  <c r="H119" i="4"/>
  <c r="G119" i="4"/>
  <c r="F119" i="4"/>
  <c r="E119" i="4"/>
  <c r="D119" i="4"/>
  <c r="C119" i="4"/>
  <c r="B119" i="4"/>
  <c r="A119" i="4"/>
  <c r="J118" i="4"/>
  <c r="I118" i="4"/>
  <c r="H118" i="4"/>
  <c r="G118" i="4"/>
  <c r="F118" i="4"/>
  <c r="E118" i="4"/>
  <c r="D118" i="4"/>
  <c r="C118" i="4"/>
  <c r="B118" i="4"/>
  <c r="A118" i="4"/>
  <c r="J117" i="4"/>
  <c r="I117" i="4"/>
  <c r="H117" i="4"/>
  <c r="G117" i="4"/>
  <c r="F117" i="4"/>
  <c r="E117" i="4"/>
  <c r="D117" i="4"/>
  <c r="C117" i="4"/>
  <c r="B117" i="4"/>
  <c r="A117" i="4"/>
  <c r="J116" i="4"/>
  <c r="I116" i="4"/>
  <c r="H116" i="4"/>
  <c r="G116" i="4"/>
  <c r="F116" i="4"/>
  <c r="E116" i="4"/>
  <c r="D116" i="4"/>
  <c r="C116" i="4"/>
  <c r="B116" i="4"/>
  <c r="A116" i="4"/>
  <c r="J115" i="4"/>
  <c r="I115" i="4"/>
  <c r="H115" i="4"/>
  <c r="G115" i="4"/>
  <c r="F115" i="4"/>
  <c r="E115" i="4"/>
  <c r="D115" i="4"/>
  <c r="C115" i="4"/>
  <c r="B115" i="4"/>
  <c r="A115" i="4"/>
  <c r="J114" i="4"/>
  <c r="I114" i="4"/>
  <c r="H114" i="4"/>
  <c r="G114" i="4"/>
  <c r="F114" i="4"/>
  <c r="E114" i="4"/>
  <c r="D114" i="4"/>
  <c r="C114" i="4"/>
  <c r="B114" i="4"/>
  <c r="A114" i="4"/>
  <c r="J113" i="4"/>
  <c r="I113" i="4"/>
  <c r="H113" i="4"/>
  <c r="G113" i="4"/>
  <c r="F113" i="4"/>
  <c r="E113" i="4"/>
  <c r="D113" i="4"/>
  <c r="C113" i="4"/>
  <c r="B113" i="4"/>
  <c r="A113" i="4"/>
  <c r="J112" i="4"/>
  <c r="I112" i="4"/>
  <c r="H112" i="4"/>
  <c r="G112" i="4"/>
  <c r="F112" i="4"/>
  <c r="E112" i="4"/>
  <c r="D112" i="4"/>
  <c r="C112" i="4"/>
  <c r="B112" i="4"/>
  <c r="A112" i="4"/>
  <c r="J111" i="4"/>
  <c r="I111" i="4"/>
  <c r="H111" i="4"/>
  <c r="G111" i="4"/>
  <c r="F111" i="4"/>
  <c r="E111" i="4"/>
  <c r="D111" i="4"/>
  <c r="C111" i="4"/>
  <c r="B111" i="4"/>
  <c r="A111" i="4"/>
  <c r="J110" i="4"/>
  <c r="I110" i="4"/>
  <c r="H110" i="4"/>
  <c r="G110" i="4"/>
  <c r="F110" i="4"/>
  <c r="E110" i="4"/>
  <c r="D110" i="4"/>
  <c r="C110" i="4"/>
  <c r="B110" i="4"/>
  <c r="A110" i="4"/>
  <c r="J109" i="4"/>
  <c r="I109" i="4"/>
  <c r="H109" i="4"/>
  <c r="G109" i="4"/>
  <c r="F109" i="4"/>
  <c r="E109" i="4"/>
  <c r="D109" i="4"/>
  <c r="C109" i="4"/>
  <c r="B109" i="4"/>
  <c r="A109" i="4"/>
  <c r="J108" i="4"/>
  <c r="I108" i="4"/>
  <c r="H108" i="4"/>
  <c r="G108" i="4"/>
  <c r="F108" i="4"/>
  <c r="E108" i="4"/>
  <c r="D108" i="4"/>
  <c r="C108" i="4"/>
  <c r="B108" i="4"/>
  <c r="A108" i="4"/>
  <c r="J107" i="4"/>
  <c r="I107" i="4"/>
  <c r="H107" i="4"/>
  <c r="G107" i="4"/>
  <c r="F107" i="4"/>
  <c r="E107" i="4"/>
  <c r="D107" i="4"/>
  <c r="C107" i="4"/>
  <c r="B107" i="4"/>
  <c r="A107" i="4"/>
  <c r="J106" i="4"/>
  <c r="I106" i="4"/>
  <c r="H106" i="4"/>
  <c r="G106" i="4"/>
  <c r="F106" i="4"/>
  <c r="E106" i="4"/>
  <c r="D106" i="4"/>
  <c r="C106" i="4"/>
  <c r="B106" i="4"/>
  <c r="A106" i="4"/>
  <c r="J105" i="4"/>
  <c r="I105" i="4"/>
  <c r="H105" i="4"/>
  <c r="G105" i="4"/>
  <c r="F105" i="4"/>
  <c r="E105" i="4"/>
  <c r="D105" i="4"/>
  <c r="C105" i="4"/>
  <c r="B105" i="4"/>
  <c r="A105" i="4"/>
  <c r="J104" i="4"/>
  <c r="I104" i="4"/>
  <c r="H104" i="4"/>
  <c r="G104" i="4"/>
  <c r="F104" i="4"/>
  <c r="E104" i="4"/>
  <c r="B104" i="4"/>
  <c r="H103" i="4"/>
  <c r="D103" i="4"/>
  <c r="J102" i="4"/>
  <c r="F102" i="4"/>
  <c r="B102" i="4"/>
  <c r="H101" i="4"/>
  <c r="D101" i="4"/>
  <c r="J100" i="4"/>
  <c r="B78" i="4"/>
  <c r="C55" i="4"/>
  <c r="G294" i="4"/>
  <c r="G292" i="4"/>
  <c r="G291" i="4"/>
  <c r="I290" i="4"/>
  <c r="I100" i="4"/>
  <c r="H100" i="4"/>
  <c r="G100" i="4"/>
  <c r="F100" i="4"/>
  <c r="E100" i="4"/>
  <c r="D100" i="4"/>
  <c r="C100" i="4"/>
  <c r="B100" i="4"/>
  <c r="A100" i="4"/>
  <c r="J99" i="4"/>
  <c r="I99" i="4"/>
  <c r="H99" i="4"/>
  <c r="G99" i="4"/>
  <c r="F99" i="4"/>
  <c r="E99" i="4"/>
  <c r="D99" i="4"/>
  <c r="C99" i="4"/>
  <c r="B99" i="4"/>
  <c r="A99" i="4"/>
  <c r="J98" i="4"/>
  <c r="I98" i="4"/>
  <c r="H98" i="4"/>
  <c r="G98" i="4"/>
  <c r="F98" i="4"/>
  <c r="E98" i="4"/>
  <c r="D98" i="4"/>
  <c r="C98" i="4"/>
  <c r="B98" i="4"/>
  <c r="A98" i="4"/>
  <c r="J97" i="4"/>
  <c r="I97" i="4"/>
  <c r="H97" i="4"/>
  <c r="G97" i="4"/>
  <c r="F97" i="4"/>
  <c r="E97" i="4"/>
  <c r="D97" i="4"/>
  <c r="C97" i="4"/>
  <c r="B97" i="4"/>
  <c r="A97" i="4"/>
  <c r="J96" i="4"/>
  <c r="I96" i="4"/>
  <c r="H96" i="4"/>
  <c r="G96" i="4"/>
  <c r="F96" i="4"/>
  <c r="E96" i="4"/>
  <c r="D96" i="4"/>
  <c r="C96" i="4"/>
  <c r="B96" i="4"/>
  <c r="A96" i="4"/>
  <c r="J95" i="4"/>
  <c r="I95" i="4"/>
  <c r="H95" i="4"/>
  <c r="G95" i="4"/>
  <c r="F95" i="4"/>
  <c r="E95" i="4"/>
  <c r="D95" i="4"/>
  <c r="C95" i="4"/>
  <c r="B95" i="4"/>
  <c r="A95" i="4"/>
  <c r="J94" i="4"/>
  <c r="I94" i="4"/>
  <c r="H94" i="4"/>
  <c r="G94" i="4"/>
  <c r="F94" i="4"/>
  <c r="E94" i="4"/>
  <c r="D94" i="4"/>
  <c r="C94" i="4"/>
  <c r="B94" i="4"/>
  <c r="A94" i="4"/>
  <c r="J93" i="4"/>
  <c r="I93" i="4"/>
  <c r="H93" i="4"/>
  <c r="G93" i="4"/>
  <c r="F93" i="4"/>
  <c r="E93" i="4"/>
  <c r="D93" i="4"/>
  <c r="C93" i="4"/>
  <c r="B93" i="4"/>
  <c r="A93" i="4"/>
  <c r="J92" i="4"/>
  <c r="I92" i="4"/>
  <c r="H92" i="4"/>
  <c r="G92" i="4"/>
  <c r="F92" i="4"/>
  <c r="E92" i="4"/>
  <c r="D92" i="4"/>
  <c r="C92" i="4"/>
  <c r="B92" i="4"/>
  <c r="A92" i="4"/>
  <c r="J91" i="4"/>
  <c r="I91" i="4"/>
  <c r="H91" i="4"/>
  <c r="G91" i="4"/>
  <c r="F91" i="4"/>
  <c r="E91" i="4"/>
  <c r="D91" i="4"/>
  <c r="C91" i="4"/>
  <c r="B91" i="4"/>
  <c r="A91" i="4"/>
  <c r="J90" i="4"/>
  <c r="I90" i="4"/>
  <c r="H90" i="4"/>
  <c r="G90" i="4"/>
  <c r="F90" i="4"/>
  <c r="E90" i="4"/>
  <c r="D90" i="4"/>
  <c r="C90" i="4"/>
  <c r="B90" i="4"/>
  <c r="A90" i="4"/>
  <c r="J89" i="4"/>
  <c r="I89" i="4"/>
  <c r="H89" i="4"/>
  <c r="G89" i="4"/>
  <c r="F89" i="4"/>
  <c r="E89" i="4"/>
  <c r="D89" i="4"/>
  <c r="C89" i="4"/>
  <c r="B89" i="4"/>
  <c r="A89" i="4"/>
  <c r="J88" i="4"/>
  <c r="I88" i="4"/>
  <c r="H88" i="4"/>
  <c r="G88" i="4"/>
  <c r="F88" i="4"/>
  <c r="E88" i="4"/>
  <c r="D88" i="4"/>
  <c r="C88" i="4"/>
  <c r="B88" i="4"/>
  <c r="A88" i="4"/>
  <c r="J87" i="4"/>
  <c r="I87" i="4"/>
  <c r="H87" i="4"/>
  <c r="G87" i="4"/>
  <c r="F87" i="4"/>
  <c r="E87" i="4"/>
  <c r="D87" i="4"/>
  <c r="C87" i="4"/>
  <c r="B87" i="4"/>
  <c r="A87" i="4"/>
  <c r="J86" i="4"/>
  <c r="I86" i="4"/>
  <c r="H86" i="4"/>
  <c r="G86" i="4"/>
  <c r="F86" i="4"/>
  <c r="E86" i="4"/>
  <c r="D86" i="4"/>
  <c r="C86" i="4"/>
  <c r="B86" i="4"/>
  <c r="A86" i="4"/>
  <c r="J85" i="4"/>
  <c r="I85" i="4"/>
  <c r="H85" i="4"/>
  <c r="G85" i="4"/>
  <c r="F85" i="4"/>
  <c r="E85" i="4"/>
  <c r="D85" i="4"/>
  <c r="C85" i="4"/>
  <c r="B85" i="4"/>
  <c r="A85" i="4"/>
  <c r="J84" i="4"/>
  <c r="I84" i="4"/>
  <c r="H84" i="4"/>
  <c r="G84" i="4"/>
  <c r="F84" i="4"/>
  <c r="E84" i="4"/>
  <c r="D84" i="4"/>
  <c r="C84" i="4"/>
  <c r="B84" i="4"/>
  <c r="A84" i="4"/>
  <c r="J83" i="4"/>
  <c r="I83" i="4"/>
  <c r="H83" i="4"/>
  <c r="G83" i="4"/>
  <c r="F83" i="4"/>
  <c r="E83" i="4"/>
  <c r="D83" i="4"/>
  <c r="C83" i="4"/>
  <c r="B83" i="4"/>
  <c r="A83" i="4"/>
  <c r="J82" i="4"/>
  <c r="I82" i="4"/>
  <c r="H82" i="4"/>
  <c r="G82" i="4"/>
  <c r="F82" i="4"/>
  <c r="E82" i="4"/>
  <c r="D82" i="4"/>
  <c r="C82" i="4"/>
  <c r="B82" i="4"/>
  <c r="A82" i="4"/>
  <c r="J81" i="4"/>
  <c r="I81" i="4"/>
  <c r="H81" i="4"/>
  <c r="G81" i="4"/>
  <c r="F81" i="4"/>
  <c r="E81" i="4"/>
  <c r="D81" i="4"/>
  <c r="C81" i="4"/>
  <c r="B81" i="4"/>
  <c r="A81" i="4"/>
  <c r="J80" i="4"/>
  <c r="I80" i="4"/>
  <c r="H80" i="4"/>
  <c r="G80" i="4"/>
  <c r="F80" i="4"/>
  <c r="E80" i="4"/>
  <c r="D80" i="4"/>
  <c r="C80" i="4"/>
  <c r="B80" i="4"/>
  <c r="A80" i="4"/>
  <c r="J79" i="4"/>
  <c r="I79" i="4"/>
  <c r="H79" i="4"/>
  <c r="G79" i="4"/>
  <c r="F79" i="4"/>
  <c r="E79" i="4"/>
  <c r="D79" i="4"/>
  <c r="C79" i="4"/>
  <c r="B79" i="4"/>
  <c r="A79" i="4"/>
  <c r="J78" i="4"/>
  <c r="I78" i="4"/>
  <c r="H78" i="4"/>
  <c r="G78" i="4"/>
  <c r="F78" i="4"/>
  <c r="A78" i="4"/>
  <c r="B55" i="4"/>
  <c r="J77" i="4"/>
  <c r="I77" i="4"/>
  <c r="H77" i="4"/>
  <c r="G77" i="4"/>
  <c r="F77" i="4"/>
  <c r="E77" i="4"/>
  <c r="D77" i="4"/>
  <c r="C77" i="4"/>
  <c r="B77" i="4"/>
  <c r="A77" i="4"/>
  <c r="J76" i="4"/>
  <c r="I76" i="4"/>
  <c r="H76" i="4"/>
  <c r="G76" i="4"/>
  <c r="F76" i="4"/>
  <c r="E76" i="4"/>
  <c r="D76" i="4"/>
  <c r="C76" i="4"/>
  <c r="B76" i="4"/>
  <c r="A76" i="4"/>
  <c r="J75" i="4"/>
  <c r="I75" i="4"/>
  <c r="H75" i="4"/>
  <c r="G75" i="4"/>
  <c r="F75" i="4"/>
  <c r="E75" i="4"/>
  <c r="D75" i="4"/>
  <c r="C75" i="4"/>
  <c r="B75" i="4"/>
  <c r="A75" i="4"/>
  <c r="J74" i="4"/>
  <c r="I74" i="4"/>
  <c r="H74" i="4"/>
  <c r="G74" i="4"/>
  <c r="F74" i="4"/>
  <c r="E74" i="4"/>
  <c r="D74" i="4"/>
  <c r="C74" i="4"/>
  <c r="B74" i="4"/>
  <c r="A74" i="4"/>
  <c r="J73" i="4"/>
  <c r="I73" i="4"/>
  <c r="H73" i="4"/>
  <c r="G73" i="4"/>
  <c r="F73" i="4"/>
  <c r="E73" i="4"/>
  <c r="D73" i="4"/>
  <c r="C73" i="4"/>
  <c r="B73" i="4"/>
  <c r="A73" i="4"/>
  <c r="J72" i="4"/>
  <c r="I72" i="4"/>
  <c r="H72" i="4"/>
  <c r="G72" i="4"/>
  <c r="F72" i="4"/>
  <c r="E72" i="4"/>
  <c r="D72" i="4"/>
  <c r="C72" i="4"/>
  <c r="B72" i="4"/>
  <c r="A72" i="4"/>
  <c r="J71" i="4"/>
  <c r="I71" i="4"/>
  <c r="H71" i="4"/>
  <c r="G71" i="4"/>
  <c r="F71" i="4"/>
  <c r="E71" i="4"/>
  <c r="D71" i="4"/>
  <c r="C71" i="4"/>
  <c r="B71" i="4"/>
  <c r="A71" i="4"/>
  <c r="J70" i="4"/>
  <c r="I70" i="4"/>
  <c r="H70" i="4"/>
  <c r="G70" i="4"/>
  <c r="F70" i="4"/>
  <c r="E70" i="4"/>
  <c r="D70" i="4"/>
  <c r="C70" i="4"/>
  <c r="B70" i="4"/>
  <c r="A70" i="4"/>
  <c r="J69" i="4"/>
  <c r="I69" i="4"/>
  <c r="H69" i="4"/>
  <c r="G69" i="4"/>
  <c r="F69" i="4"/>
  <c r="E69" i="4"/>
  <c r="D69" i="4"/>
  <c r="C69" i="4"/>
  <c r="B69" i="4"/>
  <c r="A69" i="4"/>
  <c r="J68" i="4"/>
  <c r="I68" i="4"/>
  <c r="H68" i="4"/>
  <c r="G68" i="4"/>
  <c r="F68" i="4"/>
  <c r="E68" i="4"/>
  <c r="D68" i="4"/>
  <c r="C68" i="4"/>
  <c r="B68" i="4"/>
  <c r="A68" i="4"/>
  <c r="J67" i="4"/>
  <c r="I67" i="4"/>
  <c r="H67" i="4"/>
  <c r="G67" i="4"/>
  <c r="F67" i="4"/>
  <c r="E67" i="4"/>
  <c r="D67" i="4"/>
  <c r="C67" i="4"/>
  <c r="B67" i="4"/>
  <c r="A67" i="4"/>
  <c r="J66" i="4"/>
  <c r="I66" i="4"/>
  <c r="H66" i="4"/>
  <c r="G66" i="4"/>
  <c r="F66" i="4"/>
  <c r="E66" i="4"/>
  <c r="D66" i="4"/>
  <c r="C66" i="4"/>
  <c r="B66" i="4"/>
  <c r="A66" i="4"/>
  <c r="J65" i="4"/>
  <c r="I65" i="4"/>
  <c r="H65" i="4"/>
  <c r="G65" i="4"/>
  <c r="F65" i="4"/>
  <c r="E65" i="4"/>
  <c r="D65" i="4"/>
  <c r="C65" i="4"/>
  <c r="B65" i="4"/>
  <c r="A65" i="4"/>
  <c r="J64" i="4"/>
  <c r="I64" i="4"/>
  <c r="H64" i="4"/>
  <c r="G64" i="4"/>
  <c r="F64" i="4"/>
  <c r="E64" i="4"/>
  <c r="D64" i="4"/>
  <c r="C64" i="4"/>
  <c r="B64" i="4"/>
  <c r="A64" i="4"/>
  <c r="J63" i="4"/>
  <c r="I63" i="4"/>
  <c r="H63" i="4"/>
  <c r="G63" i="4"/>
  <c r="F63" i="4"/>
  <c r="E63" i="4"/>
  <c r="D63" i="4"/>
  <c r="C63" i="4"/>
  <c r="B63" i="4"/>
  <c r="A63" i="4"/>
  <c r="J62" i="4"/>
  <c r="I62" i="4"/>
  <c r="H62" i="4"/>
  <c r="G62" i="4"/>
  <c r="F62" i="4"/>
  <c r="E62" i="4"/>
  <c r="D62" i="4"/>
  <c r="C62" i="4"/>
  <c r="B62" i="4"/>
  <c r="A62" i="4"/>
  <c r="J61" i="4"/>
  <c r="I61" i="4"/>
  <c r="H61" i="4"/>
  <c r="G61" i="4"/>
  <c r="F61" i="4"/>
  <c r="E61" i="4"/>
  <c r="D61" i="4"/>
  <c r="C61" i="4"/>
  <c r="B61" i="4"/>
  <c r="A61" i="4"/>
  <c r="J60" i="4"/>
  <c r="I60" i="4"/>
  <c r="H60" i="4"/>
  <c r="G60" i="4"/>
  <c r="F60" i="4"/>
  <c r="E60" i="4"/>
  <c r="D60" i="4"/>
  <c r="C60" i="4"/>
  <c r="B60" i="4"/>
  <c r="A60" i="4"/>
  <c r="J59" i="4"/>
  <c r="I59" i="4"/>
  <c r="H59" i="4"/>
  <c r="G59" i="4"/>
  <c r="F59" i="4"/>
  <c r="E59" i="4"/>
  <c r="D59" i="4"/>
  <c r="C59" i="4"/>
  <c r="B59" i="4"/>
  <c r="A59" i="4"/>
  <c r="J58" i="4"/>
  <c r="I58" i="4"/>
  <c r="H58" i="4"/>
  <c r="G58" i="4"/>
  <c r="F58" i="4"/>
  <c r="E58" i="4"/>
  <c r="D58" i="4"/>
  <c r="C58" i="4"/>
  <c r="B58" i="4"/>
  <c r="A58" i="4"/>
  <c r="J57" i="4"/>
  <c r="I57" i="4"/>
  <c r="H57" i="4"/>
  <c r="G57" i="4"/>
  <c r="F57" i="4"/>
  <c r="E57" i="4"/>
  <c r="D57" i="4"/>
  <c r="C57" i="4"/>
  <c r="B57" i="4"/>
  <c r="A57" i="4"/>
  <c r="J56" i="4"/>
  <c r="I56" i="4"/>
  <c r="H56" i="4"/>
  <c r="G56" i="4"/>
  <c r="F56" i="4"/>
  <c r="E56" i="4"/>
  <c r="D56" i="4"/>
  <c r="C56" i="4"/>
  <c r="B56" i="4"/>
  <c r="A56" i="4"/>
  <c r="J55" i="4"/>
  <c r="I55" i="4"/>
  <c r="H55" i="4"/>
  <c r="G55" i="4"/>
  <c r="B305" i="4"/>
  <c r="A305" i="4"/>
  <c r="A55" i="4"/>
  <c r="J54" i="4"/>
  <c r="I54" i="4"/>
  <c r="H54" i="4"/>
  <c r="G54" i="4"/>
  <c r="F54" i="4"/>
  <c r="E54" i="4"/>
  <c r="D54" i="4"/>
  <c r="C54" i="4"/>
  <c r="B54" i="4"/>
  <c r="A54" i="4"/>
  <c r="J53" i="4"/>
  <c r="I53" i="4"/>
  <c r="H53" i="4"/>
  <c r="G53" i="4"/>
  <c r="F53" i="4"/>
  <c r="E53" i="4"/>
  <c r="D53" i="4"/>
  <c r="C53" i="4"/>
  <c r="B53" i="4"/>
  <c r="A53" i="4"/>
  <c r="J52" i="4"/>
  <c r="I52" i="4"/>
  <c r="H52" i="4"/>
  <c r="G52" i="4"/>
  <c r="F52" i="4"/>
  <c r="E52" i="4"/>
  <c r="D52" i="4"/>
  <c r="C52" i="4"/>
  <c r="B52" i="4"/>
  <c r="A52" i="4"/>
  <c r="J51" i="4"/>
  <c r="I51" i="4"/>
  <c r="H51" i="4"/>
  <c r="G51" i="4"/>
  <c r="F51" i="4"/>
  <c r="E51" i="4"/>
  <c r="D51" i="4"/>
  <c r="C51" i="4"/>
  <c r="B51" i="4"/>
  <c r="A51" i="4"/>
  <c r="J50" i="4"/>
  <c r="I50" i="4"/>
  <c r="H50" i="4"/>
  <c r="G50" i="4"/>
  <c r="F50" i="4"/>
  <c r="E50" i="4"/>
  <c r="D50" i="4"/>
  <c r="C50" i="4"/>
  <c r="B50" i="4"/>
  <c r="A50" i="4"/>
  <c r="J49" i="4"/>
  <c r="I49" i="4"/>
  <c r="H49" i="4"/>
  <c r="G49" i="4"/>
  <c r="F49" i="4"/>
  <c r="E49" i="4"/>
  <c r="D49" i="4"/>
  <c r="C49" i="4"/>
  <c r="B49" i="4"/>
  <c r="A49" i="4"/>
  <c r="J48" i="4"/>
  <c r="I48" i="4"/>
  <c r="H48" i="4"/>
  <c r="G48" i="4"/>
  <c r="F48" i="4"/>
  <c r="E48" i="4"/>
  <c r="D48" i="4"/>
  <c r="C48" i="4"/>
  <c r="B48" i="4"/>
  <c r="A48" i="4"/>
  <c r="J47" i="4"/>
  <c r="I47" i="4"/>
  <c r="H47" i="4"/>
  <c r="G47" i="4"/>
  <c r="F47" i="4"/>
  <c r="E47" i="4"/>
  <c r="D47" i="4"/>
  <c r="C47" i="4"/>
  <c r="B47" i="4"/>
  <c r="A47" i="4"/>
  <c r="J46" i="4"/>
  <c r="I46" i="4"/>
  <c r="H46" i="4"/>
  <c r="G46" i="4"/>
  <c r="F46" i="4"/>
  <c r="E46" i="4"/>
  <c r="D46" i="4"/>
  <c r="C46" i="4"/>
  <c r="B46" i="4"/>
  <c r="A46" i="4"/>
  <c r="J45" i="4"/>
  <c r="I45" i="4"/>
  <c r="H45" i="4"/>
  <c r="G45" i="4"/>
  <c r="F45" i="4"/>
  <c r="E45" i="4"/>
  <c r="D45" i="4"/>
  <c r="C45" i="4"/>
  <c r="B45" i="4"/>
  <c r="A45" i="4"/>
  <c r="J44" i="4"/>
  <c r="I44" i="4"/>
  <c r="H44" i="4"/>
  <c r="G44" i="4"/>
  <c r="F44" i="4"/>
  <c r="E44" i="4"/>
  <c r="D44" i="4"/>
  <c r="C44" i="4"/>
  <c r="B44" i="4"/>
  <c r="A44" i="4"/>
  <c r="J43" i="4"/>
  <c r="I43" i="4"/>
  <c r="H43" i="4"/>
  <c r="G43" i="4"/>
  <c r="F43" i="4"/>
  <c r="E43" i="4"/>
  <c r="D43" i="4"/>
  <c r="C43" i="4"/>
  <c r="B43" i="4"/>
  <c r="A43" i="4"/>
  <c r="J42" i="4"/>
  <c r="I42" i="4"/>
  <c r="H42" i="4"/>
  <c r="G42" i="4"/>
  <c r="F42" i="4"/>
  <c r="E42" i="4"/>
  <c r="D42" i="4"/>
  <c r="C42" i="4"/>
  <c r="B42" i="4"/>
  <c r="A42" i="4"/>
  <c r="J41" i="4"/>
  <c r="I41" i="4"/>
  <c r="H41" i="4"/>
  <c r="G41" i="4"/>
  <c r="F41" i="4"/>
  <c r="E41" i="4"/>
  <c r="D41" i="4"/>
  <c r="C41" i="4"/>
  <c r="B41" i="4"/>
  <c r="A41" i="4"/>
  <c r="J40" i="4"/>
  <c r="I40" i="4"/>
  <c r="H40" i="4"/>
  <c r="G40" i="4"/>
  <c r="F40" i="4"/>
  <c r="E40" i="4"/>
  <c r="D40" i="4"/>
  <c r="C40" i="4"/>
  <c r="B40" i="4"/>
  <c r="A40" i="4"/>
  <c r="J39" i="4"/>
  <c r="I39" i="4"/>
  <c r="H39" i="4"/>
  <c r="G39" i="4"/>
  <c r="F39" i="4"/>
  <c r="E39" i="4"/>
  <c r="D39" i="4"/>
  <c r="C39" i="4"/>
  <c r="B39" i="4"/>
  <c r="A39" i="4"/>
  <c r="J38" i="4"/>
  <c r="I38" i="4"/>
  <c r="H38" i="4"/>
  <c r="G38" i="4"/>
  <c r="F38" i="4"/>
  <c r="E38" i="4"/>
  <c r="D38" i="4"/>
  <c r="C38" i="4"/>
  <c r="B38" i="4"/>
  <c r="A38" i="4"/>
  <c r="J37" i="4"/>
  <c r="I37" i="4"/>
  <c r="H37" i="4"/>
  <c r="G37" i="4"/>
  <c r="F37" i="4"/>
  <c r="E37" i="4"/>
  <c r="D37" i="4"/>
  <c r="C37" i="4"/>
  <c r="B37" i="4"/>
  <c r="A37" i="4"/>
  <c r="J36" i="4"/>
  <c r="I36" i="4"/>
  <c r="H36" i="4"/>
  <c r="G36" i="4"/>
  <c r="F36" i="4"/>
  <c r="E36" i="4"/>
  <c r="D36" i="4"/>
  <c r="C36" i="4"/>
  <c r="B36" i="4"/>
  <c r="A36" i="4"/>
  <c r="J35" i="4"/>
  <c r="I35" i="4"/>
  <c r="H35" i="4"/>
  <c r="G35" i="4"/>
  <c r="F35" i="4"/>
  <c r="E35" i="4"/>
  <c r="D35" i="4"/>
  <c r="C35" i="4"/>
  <c r="B35" i="4"/>
  <c r="A35" i="4"/>
  <c r="J34" i="4"/>
  <c r="I34" i="4"/>
  <c r="H34" i="4"/>
  <c r="G34" i="4"/>
  <c r="F34" i="4"/>
  <c r="E34" i="4"/>
  <c r="D34" i="4"/>
  <c r="C34" i="4"/>
  <c r="B34" i="4"/>
  <c r="A34" i="4"/>
  <c r="J33" i="4"/>
  <c r="I33" i="4"/>
  <c r="H33" i="4"/>
  <c r="G33" i="4"/>
  <c r="F33" i="4"/>
  <c r="E33" i="4"/>
  <c r="D33" i="4"/>
  <c r="C33" i="4"/>
  <c r="B33" i="4"/>
  <c r="A33" i="4"/>
  <c r="J32" i="4"/>
  <c r="I32" i="4"/>
  <c r="H32" i="4"/>
  <c r="G32" i="4"/>
  <c r="F32" i="4"/>
  <c r="E32" i="4"/>
  <c r="D32" i="4"/>
  <c r="C32" i="4"/>
  <c r="G12" i="4"/>
  <c r="E12" i="4"/>
  <c r="C12" i="4"/>
  <c r="A12" i="4"/>
  <c r="I11" i="4"/>
  <c r="G11" i="4"/>
  <c r="E11" i="4"/>
  <c r="C11" i="4"/>
  <c r="A11" i="4"/>
  <c r="I10" i="4"/>
  <c r="G10" i="4"/>
  <c r="E10" i="4"/>
  <c r="C10" i="4"/>
  <c r="B10" i="4"/>
  <c r="J9" i="4"/>
  <c r="H9" i="4"/>
  <c r="F9" i="4"/>
  <c r="E9" i="4"/>
  <c r="B32" i="4"/>
  <c r="A32" i="4"/>
  <c r="J31" i="4"/>
  <c r="I31" i="4"/>
  <c r="H31" i="4"/>
  <c r="G31" i="4"/>
  <c r="F31" i="4"/>
  <c r="E31" i="4"/>
  <c r="D31" i="4"/>
  <c r="C31" i="4"/>
  <c r="B31" i="4"/>
  <c r="A31" i="4"/>
  <c r="J30" i="4"/>
  <c r="I30" i="4"/>
  <c r="H30" i="4"/>
  <c r="G30" i="4"/>
  <c r="F30" i="4"/>
  <c r="E30" i="4"/>
  <c r="D30" i="4"/>
  <c r="C30" i="4"/>
  <c r="B30" i="4"/>
  <c r="A30" i="4"/>
  <c r="J29" i="4"/>
  <c r="I29" i="4"/>
  <c r="H29" i="4"/>
  <c r="G29" i="4"/>
  <c r="F29" i="4"/>
  <c r="E29" i="4"/>
  <c r="D29" i="4"/>
  <c r="C29" i="4"/>
  <c r="B29" i="4"/>
  <c r="A29" i="4"/>
  <c r="J28" i="4"/>
  <c r="I28" i="4"/>
  <c r="H28" i="4"/>
  <c r="G28" i="4"/>
  <c r="F28" i="4"/>
  <c r="E28" i="4"/>
  <c r="D28" i="4"/>
  <c r="C28" i="4"/>
  <c r="B28" i="4"/>
  <c r="A28" i="4"/>
  <c r="J27" i="4"/>
  <c r="I27" i="4"/>
  <c r="H27" i="4"/>
  <c r="G27" i="4"/>
  <c r="F27" i="4"/>
  <c r="E27" i="4"/>
  <c r="D27" i="4"/>
  <c r="C27" i="4"/>
  <c r="B27" i="4"/>
  <c r="A27" i="4"/>
  <c r="J26" i="4"/>
  <c r="I26" i="4"/>
  <c r="H26" i="4"/>
  <c r="G26" i="4"/>
  <c r="F26" i="4"/>
  <c r="E26" i="4"/>
  <c r="D26" i="4"/>
  <c r="C26" i="4"/>
  <c r="B26" i="4"/>
  <c r="A26" i="4"/>
  <c r="J25" i="4"/>
  <c r="I25" i="4"/>
  <c r="H25" i="4"/>
  <c r="G25" i="4"/>
  <c r="F25" i="4"/>
  <c r="E25" i="4"/>
  <c r="D25" i="4"/>
  <c r="C25" i="4"/>
  <c r="B25" i="4"/>
  <c r="A25" i="4"/>
  <c r="J24" i="4"/>
  <c r="I24" i="4"/>
  <c r="H24" i="4"/>
  <c r="G24" i="4"/>
  <c r="F24" i="4"/>
  <c r="E24" i="4"/>
  <c r="D24" i="4"/>
  <c r="C24" i="4"/>
  <c r="B24" i="4"/>
  <c r="A24" i="4"/>
  <c r="J23" i="4"/>
  <c r="I23" i="4"/>
  <c r="H23" i="4"/>
  <c r="G23" i="4"/>
  <c r="F23" i="4"/>
  <c r="E23" i="4"/>
  <c r="D23" i="4"/>
  <c r="C23" i="4"/>
  <c r="B23" i="4"/>
  <c r="A23" i="4"/>
  <c r="J22" i="4"/>
  <c r="I22" i="4"/>
  <c r="H22" i="4"/>
  <c r="G22" i="4"/>
  <c r="F22" i="4"/>
  <c r="E22" i="4"/>
  <c r="D22" i="4"/>
  <c r="C22" i="4"/>
  <c r="B22" i="4"/>
  <c r="A22" i="4"/>
  <c r="J21" i="4"/>
  <c r="I21" i="4"/>
  <c r="H21" i="4"/>
  <c r="G21" i="4"/>
  <c r="F21" i="4"/>
  <c r="E21" i="4"/>
  <c r="D21" i="4"/>
  <c r="C21" i="4"/>
  <c r="B21" i="4"/>
  <c r="A21" i="4"/>
  <c r="J20" i="4"/>
  <c r="I20" i="4"/>
  <c r="H20" i="4"/>
  <c r="G20" i="4"/>
  <c r="F20" i="4"/>
  <c r="E20" i="4"/>
  <c r="D20" i="4"/>
  <c r="C20" i="4"/>
  <c r="B20" i="4"/>
  <c r="A20" i="4"/>
  <c r="J19" i="4"/>
  <c r="I19" i="4"/>
  <c r="H19" i="4"/>
  <c r="G19" i="4"/>
  <c r="F19" i="4"/>
  <c r="E19" i="4"/>
  <c r="D19" i="4"/>
  <c r="C19" i="4"/>
  <c r="B19" i="4"/>
  <c r="A19" i="4"/>
  <c r="J18" i="4"/>
  <c r="I18" i="4"/>
  <c r="H18" i="4"/>
  <c r="G18" i="4"/>
  <c r="F18" i="4"/>
  <c r="E18" i="4"/>
  <c r="D18" i="4"/>
  <c r="C18" i="4"/>
  <c r="B18" i="4"/>
  <c r="A18" i="4"/>
  <c r="J17" i="4"/>
  <c r="I17" i="4"/>
  <c r="H17" i="4"/>
  <c r="G17" i="4"/>
  <c r="F17" i="4"/>
  <c r="E17" i="4"/>
  <c r="D17" i="4"/>
  <c r="C17" i="4"/>
  <c r="B17" i="4"/>
  <c r="A17" i="4"/>
  <c r="J16" i="4"/>
  <c r="I16" i="4"/>
  <c r="H16" i="4"/>
  <c r="G16" i="4"/>
  <c r="F16" i="4"/>
  <c r="E16" i="4"/>
  <c r="D16" i="4"/>
  <c r="C16" i="4"/>
  <c r="B16" i="4"/>
  <c r="A16" i="4"/>
  <c r="J15" i="4"/>
  <c r="I15" i="4"/>
  <c r="H15" i="4"/>
  <c r="G15" i="4"/>
  <c r="F15" i="4"/>
  <c r="E15" i="4"/>
  <c r="D15" i="4"/>
  <c r="C15" i="4"/>
  <c r="B15" i="4"/>
  <c r="A15" i="4"/>
  <c r="J14" i="4"/>
  <c r="I14" i="4"/>
  <c r="H14" i="4"/>
  <c r="G14" i="4"/>
  <c r="F14" i="4"/>
  <c r="E14" i="4"/>
  <c r="D14" i="4"/>
  <c r="C14" i="4"/>
  <c r="B14" i="4"/>
  <c r="A14" i="4"/>
  <c r="J13" i="4"/>
  <c r="I13" i="4"/>
  <c r="H13" i="4"/>
  <c r="G13" i="4"/>
  <c r="F13" i="4"/>
  <c r="E13" i="4"/>
  <c r="D13" i="4"/>
  <c r="C13" i="4"/>
  <c r="B13" i="4"/>
  <c r="A13" i="4"/>
  <c r="J12" i="4"/>
  <c r="I12" i="4"/>
  <c r="H12" i="4"/>
  <c r="F12" i="4"/>
  <c r="D12" i="4"/>
  <c r="B12" i="4"/>
  <c r="J11" i="4"/>
  <c r="H11" i="4"/>
  <c r="F11" i="4"/>
  <c r="D11" i="4"/>
  <c r="B11" i="4"/>
  <c r="J10" i="4"/>
  <c r="H10" i="4"/>
  <c r="F10" i="4"/>
  <c r="D10" i="4"/>
  <c r="A10" i="4"/>
  <c r="I9" i="4"/>
  <c r="G9" i="4"/>
  <c r="D9" i="4"/>
  <c r="J304" i="4"/>
  <c r="I304" i="4"/>
  <c r="H304" i="4"/>
  <c r="G304" i="4"/>
  <c r="G295" i="4"/>
  <c r="A293" i="4"/>
  <c r="J291" i="4"/>
  <c r="J290" i="4"/>
  <c r="J289" i="4"/>
  <c r="A289" i="4"/>
  <c r="C288" i="4"/>
  <c r="E287" i="4"/>
  <c r="F286" i="4"/>
  <c r="I285" i="4"/>
  <c r="C9" i="4"/>
  <c r="B9" i="4"/>
  <c r="A9" i="4"/>
  <c r="J8" i="4"/>
  <c r="I8" i="4"/>
  <c r="H8" i="4"/>
  <c r="G8" i="4"/>
  <c r="F8" i="4"/>
  <c r="E8" i="4"/>
  <c r="D8" i="4"/>
  <c r="C8" i="4"/>
  <c r="B8" i="4"/>
  <c r="A8" i="4"/>
  <c r="J7" i="4"/>
  <c r="I7" i="4"/>
  <c r="H7" i="4"/>
  <c r="G7" i="4"/>
  <c r="F7" i="4"/>
  <c r="E7" i="4"/>
  <c r="D7" i="4"/>
  <c r="B7" i="4"/>
  <c r="A7" i="4"/>
  <c r="F304" i="4"/>
  <c r="E304" i="4"/>
  <c r="D304" i="4"/>
  <c r="F297" i="4"/>
  <c r="B296" i="4"/>
  <c r="D295" i="4"/>
  <c r="F294" i="4"/>
  <c r="I293" i="4"/>
  <c r="H8" i="3" l="1"/>
  <c r="D16" i="1"/>
  <c r="H7" i="3"/>
  <c r="E15" i="1" s="1"/>
  <c r="D15" i="1"/>
  <c r="H6" i="3"/>
  <c r="E14" i="1" s="1"/>
  <c r="D14" i="1"/>
  <c r="J5" i="1" l="1"/>
  <c r="E16" i="1"/>
</calcChain>
</file>

<file path=xl/sharedStrings.xml><?xml version="1.0" encoding="utf-8"?>
<sst xmlns="http://schemas.openxmlformats.org/spreadsheetml/2006/main" count="553" uniqueCount="236">
  <si>
    <t>2026 冬ゲーム｜コスト状況</t>
  </si>
  <si>
    <t>予想コスト・実コスト・残りコストと、マイルストーンまでに必要な作業時間を確認できます。</t>
  </si>
  <si>
    <t>予想コスト</t>
  </si>
  <si>
    <t>実コスト</t>
  </si>
  <si>
    <t>残りコスト</t>
  </si>
  <si>
    <t>必要作業時間/日</t>
  </si>
  <si>
    <t>残営業日</t>
  </si>
  <si>
    <t>最終締切</t>
  </si>
  <si>
    <t>コスト単位</t>
  </si>
  <si>
    <t>1コスト＝作業1時間分</t>
  </si>
  <si>
    <t>営業日の扱い</t>
  </si>
  <si>
    <t>土日を除外。祝日は除外していません。</t>
  </si>
  <si>
    <t>段階</t>
  </si>
  <si>
    <t>締切日</t>
  </si>
  <si>
    <t>必要時間/日</t>
  </si>
  <si>
    <t>プロト</t>
  </si>
  <si>
    <t>アルファ</t>
  </si>
  <si>
    <t>ベータ</t>
  </si>
  <si>
    <t>マスター</t>
  </si>
  <si>
    <t>締め切り</t>
  </si>
  <si>
    <t>実コストをタスクシートに入力すると、実コスト・残りコスト・必要時間/日が更新されます。</t>
  </si>
  <si>
    <r>
      <t>1</t>
    </r>
    <r>
      <rPr>
        <sz val="11"/>
        <rFont val="ＭＳ ゴシック"/>
        <family val="3"/>
      </rPr>
      <t>コスト：</t>
    </r>
    <r>
      <rPr>
        <sz val="11"/>
        <rFont val="Arial"/>
        <family val="2"/>
      </rPr>
      <t>1</t>
    </r>
    <r>
      <rPr>
        <sz val="11"/>
        <rFont val="ＭＳ ゴシック"/>
        <family val="3"/>
      </rPr>
      <t>時間</t>
    </r>
  </si>
  <si>
    <t>ID</t>
  </si>
  <si>
    <t>カテゴリ</t>
  </si>
  <si>
    <t>作業項目</t>
  </si>
  <si>
    <t>優先度</t>
  </si>
  <si>
    <t>進捗状況</t>
  </si>
  <si>
    <t>コード確認メモ</t>
  </si>
  <si>
    <t>補足</t>
  </si>
  <si>
    <t>T001</t>
  </si>
  <si>
    <t>当たり判定</t>
  </si>
  <si>
    <t>CollisionManagerの管理・接触結果整理</t>
  </si>
  <si>
    <t>S</t>
  </si>
  <si>
    <t>一部実装</t>
  </si>
  <si>
    <t>CollisionManager.cpp/hあり。判定結果と押し戻しの整理余地</t>
  </si>
  <si>
    <t>T002</t>
  </si>
  <si>
    <t>球コライダー判定</t>
  </si>
  <si>
    <t>完了</t>
  </si>
  <si>
    <t>SphereCollider.cpp/hあり</t>
  </si>
  <si>
    <t>T003</t>
  </si>
  <si>
    <t>カプセルコライダー判定</t>
  </si>
  <si>
    <t>CapsuleCollider.cpp/h、カプセル判定関数あり</t>
  </si>
  <si>
    <t>T004</t>
  </si>
  <si>
    <t>ポリゴンコライダー判定</t>
  </si>
  <si>
    <t>PolygonCollider.cpp/hあり。押し戻し・床壁分類との統合確認</t>
  </si>
  <si>
    <t>T005</t>
  </si>
  <si>
    <t>プレイヤー</t>
  </si>
  <si>
    <t>移動</t>
  </si>
  <si>
    <t>Playerと移動Stateあり</t>
  </si>
  <si>
    <t>T006</t>
  </si>
  <si>
    <t>ジャンプ</t>
  </si>
  <si>
    <t>PlayerStateJumpあり</t>
  </si>
  <si>
    <t>T007</t>
  </si>
  <si>
    <t>ホバー</t>
  </si>
  <si>
    <t>B</t>
  </si>
  <si>
    <t>PlayerStateHoverあり</t>
  </si>
  <si>
    <t>T008</t>
  </si>
  <si>
    <t>回避・ダッシュ</t>
  </si>
  <si>
    <t>未着手</t>
  </si>
  <si>
    <t>Playerの状態・Physics実装を動作確認</t>
  </si>
  <si>
    <t>T009</t>
  </si>
  <si>
    <t>エイム</t>
  </si>
  <si>
    <t>Playerの照準レイ・カメラ参照あり。操作感と座標系確認</t>
  </si>
  <si>
    <t>T010</t>
  </si>
  <si>
    <t>射撃</t>
  </si>
  <si>
    <t>進行中</t>
  </si>
  <si>
    <t>PlayerのRayCastと銃モデル描画あり。被弾通知・ダメージ連携を追加</t>
  </si>
  <si>
    <t>T011</t>
  </si>
  <si>
    <t>必殺技</t>
  </si>
  <si>
    <t>元表の項目。仕様未確定</t>
  </si>
  <si>
    <t>T012</t>
  </si>
  <si>
    <t>カメラ</t>
  </si>
  <si>
    <t>通常カメラ</t>
  </si>
  <si>
    <t>Camera.cpp/hあり</t>
  </si>
  <si>
    <t>T013</t>
  </si>
  <si>
    <t>エイムカメラ</t>
  </si>
  <si>
    <t>照準時の視点処理をPlayerと統合確認</t>
  </si>
  <si>
    <t>T014</t>
  </si>
  <si>
    <t>ハッキング</t>
  </si>
  <si>
    <t>盤面生成とデータ調整</t>
  </si>
  <si>
    <t>HackingManager/Hackableあり。盤面の外部データ化・調整性が残る</t>
  </si>
  <si>
    <t>T015</t>
  </si>
  <si>
    <t>盤面移動と経路制約</t>
  </si>
  <si>
    <t>コードあり・要確認</t>
  </si>
  <si>
    <t>Hackableの移動処理あり。全マス条件を検証</t>
  </si>
  <si>
    <t>T016</t>
  </si>
  <si>
    <t>成功・失敗の発動</t>
  </si>
  <si>
    <t>HackingManager/Hackableあり。敵状態・リセット連携を要確認</t>
  </si>
  <si>
    <t>T017</t>
  </si>
  <si>
    <t>ハッキング特殊効果</t>
  </si>
  <si>
    <t>黄色マス等。銃強化・伝播・停止などを追加</t>
  </si>
  <si>
    <t>T018</t>
  </si>
  <si>
    <t>敵</t>
  </si>
  <si>
    <t>敵ベース</t>
  </si>
  <si>
    <t>EnemyBase、Hitbox、Hackable、EnemyHPUIあり</t>
  </si>
  <si>
    <t>T019</t>
  </si>
  <si>
    <t>雑魚敵1（テスト敵）</t>
  </si>
  <si>
    <t>TestEnemy.cpp/hあり</t>
  </si>
  <si>
    <t>T020</t>
  </si>
  <si>
    <t>雑魚敵2（Walker）</t>
  </si>
  <si>
    <t>WalkerとOrbit/Approach状態、モデルあり。調整・動作確認が残る</t>
  </si>
  <si>
    <t>T021</t>
  </si>
  <si>
    <t>雑魚敵3</t>
  </si>
  <si>
    <t>A</t>
  </si>
  <si>
    <t>元表の追加敵</t>
  </si>
  <si>
    <t>T022</t>
  </si>
  <si>
    <t>ボス1</t>
  </si>
  <si>
    <t>元表の項目</t>
  </si>
  <si>
    <t>T023</t>
  </si>
  <si>
    <t>ボス2</t>
  </si>
  <si>
    <t>T024</t>
  </si>
  <si>
    <t>ボス3</t>
  </si>
  <si>
    <t>T025</t>
  </si>
  <si>
    <t>ステージ</t>
  </si>
  <si>
    <t>ステージ1（仮レイアウト）</t>
  </si>
  <si>
    <t>StaticStageあり。プレイ可能区画・導線・配置が必要</t>
  </si>
  <si>
    <t>T026</t>
  </si>
  <si>
    <t>ステージ2</t>
  </si>
  <si>
    <t>T027</t>
  </si>
  <si>
    <t>ステージ3</t>
  </si>
  <si>
    <t>T028</t>
  </si>
  <si>
    <t>システム</t>
  </si>
  <si>
    <t>アニメーション基盤・ブレンド</t>
  </si>
  <si>
    <t>Animator/AnimationLayerあり。遷移と見た目を確認</t>
  </si>
  <si>
    <t>T029</t>
  </si>
  <si>
    <t>クラス設計・基盤整理</t>
  </si>
  <si>
    <t>GameObject/Component/StateMachine等の基盤あり。責務整理</t>
  </si>
  <si>
    <t>T030</t>
  </si>
  <si>
    <t>素材</t>
  </si>
  <si>
    <t>モデル</t>
  </si>
  <si>
    <t>Player/Gun/Walkerモデル参照あり。配置・スケール確認</t>
  </si>
  <si>
    <t>T031</t>
  </si>
  <si>
    <t>アニメーション素材</t>
  </si>
  <si>
    <t>Animator基盤あり。必要なアニメーション組み込み</t>
  </si>
  <si>
    <t>T032</t>
  </si>
  <si>
    <t>画像・テクスチャ</t>
  </si>
  <si>
    <t>Walker素材/テクスチャあり。ゲーム用調整と反映確認</t>
  </si>
  <si>
    <t>T033</t>
  </si>
  <si>
    <t>音素材</t>
  </si>
  <si>
    <t>T034</t>
  </si>
  <si>
    <t>演出</t>
  </si>
  <si>
    <t>エフェクトマネージャー</t>
  </si>
  <si>
    <t>T035</t>
  </si>
  <si>
    <t>エフェクト実装</t>
  </si>
  <si>
    <t>命中・ハッキング・被弾など</t>
  </si>
  <si>
    <t>T036</t>
  </si>
  <si>
    <t>サウンドマネージャー</t>
  </si>
  <si>
    <t>T037</t>
  </si>
  <si>
    <t>サウンド実装</t>
  </si>
  <si>
    <t>T038</t>
  </si>
  <si>
    <t>シーン</t>
  </si>
  <si>
    <t>シーンマネージャー</t>
  </si>
  <si>
    <t>SceneManagerあり</t>
  </si>
  <si>
    <t>T039</t>
  </si>
  <si>
    <t>ゲームシーン</t>
  </si>
  <si>
    <t>SceneMainあり。ゲームループとプレイ条件を確認</t>
  </si>
  <si>
    <t>T040</t>
  </si>
  <si>
    <t>タイトル</t>
  </si>
  <si>
    <t>T041</t>
  </si>
  <si>
    <t>クリア</t>
  </si>
  <si>
    <t>T042</t>
  </si>
  <si>
    <t>ゲームオーバー</t>
  </si>
  <si>
    <t>T043</t>
  </si>
  <si>
    <t>ステージセレクト</t>
  </si>
  <si>
    <t>T044</t>
  </si>
  <si>
    <t>ポーズ</t>
  </si>
  <si>
    <t>T045</t>
  </si>
  <si>
    <t>オプション</t>
  </si>
  <si>
    <t>T046</t>
  </si>
  <si>
    <t>カプセル対カプセル・線分の接触点/法線検証</t>
  </si>
  <si>
    <t>計画追加</t>
  </si>
  <si>
    <t>MyLibの線分判定、CollisionManagerのRayCastを確認</t>
  </si>
  <si>
    <t>端点・平行・退化ケースを確認</t>
  </si>
  <si>
    <t>T047</t>
  </si>
  <si>
    <t>床接地・坂道追従・押し戻しの安定化</t>
  </si>
  <si>
    <t>Physics.cppとPolygonColliderあり</t>
  </si>
  <si>
    <t>坂、壁際、段差、連続接触を検証</t>
  </si>
  <si>
    <t>T048</t>
  </si>
  <si>
    <t>被弾対象コンポーネントと命中通知</t>
  </si>
  <si>
    <t>Hitboxはあるが射撃対象登録/ダメージ通知一式は独立項目なし</t>
  </si>
  <si>
    <t>T049</t>
  </si>
  <si>
    <t>HP・被ダメージ・撃破とUI連携</t>
  </si>
  <si>
    <t>EnemyHPUI/Hitboxあり。射撃・ハッキングとの接続</t>
  </si>
  <si>
    <t>T050</t>
  </si>
  <si>
    <t>弱体化時間・青/黄色マス効果の統合</t>
  </si>
  <si>
    <t>仕様メモとHackableあり。効果時間・重複・解除を決める</t>
  </si>
  <si>
    <t>T051</t>
  </si>
  <si>
    <t>Walkerの攻撃・被弾・アニメーション統合</t>
  </si>
  <si>
    <t>Walkerの状態クラスとモデルあり。戦闘ループを完成</t>
  </si>
  <si>
    <t>T052</t>
  </si>
  <si>
    <t>ステージ1の衝突ブロックアウト・進行確認</t>
  </si>
  <si>
    <t>StaticStageに移動・射撃・ハッキング可能な導線を追加</t>
  </si>
  <si>
    <t>T053</t>
  </si>
  <si>
    <t>UI</t>
  </si>
  <si>
    <t>HP・照準・ハッキング状態のHUD統合</t>
  </si>
  <si>
    <t>UIManager/EnemyHPUI/HackingTargetUIあり。Player HUDを追加</t>
  </si>
  <si>
    <t>T054</t>
  </si>
  <si>
    <t>テスト</t>
  </si>
  <si>
    <t>戦闘・ハッキング・ステージの通し調整</t>
  </si>
  <si>
    <t>結合時の難易度・操作性・不具合修正</t>
  </si>
  <si>
    <t>T055</t>
  </si>
  <si>
    <t>Walker装甲テクスチャと見た目反映</t>
  </si>
  <si>
    <t>装甲展開・水色強調の見た目をゲーム素材へ反映</t>
  </si>
  <si>
    <t>T056</t>
  </si>
  <si>
    <t>仕上げ</t>
  </si>
  <si>
    <t>最終ビルド・操作説明・不具合修正</t>
  </si>
  <si>
    <t>元表に独立項目なし</t>
  </si>
  <si>
    <t>配布ビルドで主要操作とシーン遷移を確認</t>
  </si>
  <si>
    <t>マイルストーンとカレンダー</t>
  </si>
  <si>
    <t>2026年9月〜12月のカレンダー、締切、段階ごとの目標をまとめています。必要作業時間/日は残りコストを残営業日で割った値です。</t>
  </si>
  <si>
    <t>残り日数</t>
  </si>
  <si>
    <t>累計予想コスト</t>
  </si>
  <si>
    <t>累計実コスト</t>
  </si>
  <si>
    <t>到達目標</t>
  </si>
  <si>
    <t>ゲームシーンだけでも遊べるように。プレイヤー、敵一体、ハッキング(黄色マス以外)、ステージ(仮)を実装する</t>
  </si>
  <si>
    <t>要素を増やしていく。ゲームシーン以外を実装(見た目は後)、ハッキングの黄色マス追加、敵追加、ステージ追加、改良</t>
  </si>
  <si>
    <t>見た目を良くしていく。同時にレベルデザインやその他の改良なども行う。</t>
  </si>
  <si>
    <t>細かいところを調整。見た目とか難易度とか</t>
  </si>
  <si>
    <t>10月 2026年</t>
  </si>
  <si>
    <t>日</t>
  </si>
  <si>
    <t>月</t>
  </si>
  <si>
    <t>火</t>
  </si>
  <si>
    <t>水</t>
  </si>
  <si>
    <t>木</t>
  </si>
  <si>
    <t>金</t>
  </si>
  <si>
    <t>土</t>
  </si>
  <si>
    <t>11月 2026年</t>
  </si>
  <si>
    <t>12月 2026年</t>
  </si>
  <si>
    <t>タスク入力・管理</t>
  </si>
  <si>
    <t>新しいタスクは表の次の空行に追加してください。K列を「非表示」にすると、その項目を一覧から隠せます。</t>
  </si>
  <si>
    <t>表示</t>
  </si>
  <si>
    <t>段階順</t>
  </si>
  <si>
    <t>一覧順キー</t>
  </si>
  <si>
    <t>タスク一覧｜段階・カテゴリ順</t>
  </si>
  <si>
    <t>追加・編集は「タスク」で行います。段階・カテゴリ・進捗で絞り込み、個別表示は「タスク」のK列で切り替えます。</t>
  </si>
  <si>
    <t>すべて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</si>
</sst>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"/>
    <numFmt numFmtId="177" formatCode="yyyy/mm/dd"/>
    <numFmt numFmtId="178" formatCode="0.0&quot; 時間/日&quot;"/>
    <numFmt numFmtId="179" formatCode="#,##0&quot; 日&quot;"/>
    <numFmt numFmtId="180" formatCode="0.0"/>
  </numFmts>
  <fonts count="19">
    <font>
      <sz val="11"/>
      <name val="Carlito"/>
    </font>
    <font>
      <b/>
      <sz val="15"/>
      <color rgb="FF16324F"/>
      <name val="Arial"/>
      <family val="2"/>
    </font>
    <font>
      <i/>
      <sz val="9"/>
      <color rgb="FF596579"/>
      <name val="Arial"/>
      <family val="2"/>
    </font>
    <font>
      <b/>
      <sz val="10"/>
      <color rgb="FFFFFFFF"/>
      <name val="Arial"/>
      <family val="2"/>
    </font>
    <font>
      <sz val="9"/>
      <color rgb="FF43546A"/>
      <name val="Arial"/>
      <family val="2"/>
    </font>
    <font>
      <b/>
      <sz val="9"/>
      <color rgb="FFFFFFFF"/>
      <name val="Arial"/>
      <family val="2"/>
    </font>
    <font>
      <b/>
      <sz val="10"/>
      <color rgb="FF16324F"/>
      <name val="Arial"/>
      <family val="2"/>
    </font>
    <font>
      <b/>
      <sz val="16"/>
      <color rgb="FF16324F"/>
      <name val="Arial"/>
      <family val="2"/>
    </font>
    <font>
      <b/>
      <sz val="10"/>
      <color rgb="FF596579"/>
      <name val="Arial"/>
      <family val="2"/>
    </font>
    <font>
      <b/>
      <sz val="14"/>
      <color rgb="FF16324F"/>
      <name val="Arial"/>
      <family val="2"/>
    </font>
    <font>
      <b/>
      <sz val="10"/>
      <color rgb="FF43546A"/>
      <name val="Arial"/>
      <family val="2"/>
    </font>
    <font>
      <sz val="11"/>
      <name val="Carlito"/>
    </font>
    <font>
      <sz val="11"/>
      <name val="ＭＳ ゴシック"/>
      <family val="3"/>
    </font>
    <font>
      <sz val="11"/>
      <name val="Arial"/>
      <family val="2"/>
    </font>
    <font>
      <b/>
      <sz val="16"/>
      <color rgb="FFFFFFFF"/>
      <name val="Carlito"/>
    </font>
    <font>
      <sz val="10"/>
      <color rgb="FF595959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sz val="6"/>
      <name val="ＭＳ Ｐゴシック"/>
      <family val="3"/>
      <charset val="128"/>
    </font>
  </fonts>
  <fills count="16">
    <fill>
      <patternFill patternType="none"/>
    </fill>
    <fill>
      <patternFill patternType="gray125"/>
    </fill>
    <fill>
      <patternFill patternType="solid">
        <fgColor rgb="FF1F456E"/>
      </patternFill>
    </fill>
    <fill>
      <patternFill patternType="solid">
        <fgColor rgb="FFE9EF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9E5F3"/>
      </patternFill>
    </fill>
    <fill>
      <patternFill patternType="solid">
        <fgColor rgb="FFEAF0F6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00B0F0"/>
      </patternFill>
    </fill>
    <fill>
      <patternFill patternType="solid">
        <fgColor rgb="FFFF0000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</fills>
  <borders count="7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D9E1EA"/>
      </top>
      <bottom style="thin">
        <color rgb="FFD9E1EA"/>
      </bottom>
      <diagonal/>
    </border>
    <border>
      <left/>
      <right/>
      <top style="thin">
        <color rgb="FFD9E1EA"/>
      </top>
      <bottom/>
      <diagonal/>
    </border>
    <border>
      <left/>
      <right/>
      <top/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/>
      <diagonal/>
    </border>
  </borders>
  <cellStyleXfs count="2">
    <xf numFmtId="0" fontId="0" fillId="0" borderId="0"/>
    <xf numFmtId="0" fontId="11" fillId="0" borderId="0"/>
  </cellStyleXfs>
  <cellXfs count="58">
    <xf numFmtId="0" fontId="0" fillId="0" borderId="0" xfId="0"/>
    <xf numFmtId="0" fontId="1" fillId="0" borderId="0" xfId="1" applyFont="1"/>
    <xf numFmtId="0" fontId="2" fillId="0" borderId="0" xfId="1" applyFont="1"/>
    <xf numFmtId="0" fontId="3" fillId="2" borderId="0" xfId="1" applyFont="1" applyFill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0" fillId="0" borderId="0" xfId="1" applyFont="1" applyAlignment="1">
      <alignment vertical="center"/>
    </xf>
    <xf numFmtId="176" fontId="0" fillId="3" borderId="0" xfId="1" applyNumberFormat="1" applyFont="1" applyFill="1" applyAlignment="1">
      <alignment vertical="center"/>
    </xf>
    <xf numFmtId="176" fontId="0" fillId="4" borderId="0" xfId="1" applyNumberFormat="1" applyFont="1" applyFill="1" applyAlignment="1">
      <alignment vertical="center"/>
    </xf>
    <xf numFmtId="0" fontId="4" fillId="0" borderId="0" xfId="1" applyFont="1" applyAlignment="1">
      <alignment vertical="center"/>
    </xf>
    <xf numFmtId="0" fontId="5" fillId="5" borderId="0" xfId="1" applyFont="1" applyFill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177" fontId="0" fillId="0" borderId="0" xfId="1" applyNumberFormat="1" applyFont="1" applyAlignment="1">
      <alignment vertical="center"/>
    </xf>
    <xf numFmtId="3" fontId="0" fillId="0" borderId="0" xfId="1" applyNumberFormat="1" applyFont="1" applyAlignment="1">
      <alignment vertical="center"/>
    </xf>
    <xf numFmtId="176" fontId="0" fillId="0" borderId="0" xfId="1" applyNumberFormat="1" applyFont="1" applyAlignment="1">
      <alignment vertical="center"/>
    </xf>
    <xf numFmtId="178" fontId="0" fillId="0" borderId="0" xfId="1" applyNumberFormat="1" applyFont="1" applyAlignment="1">
      <alignment vertical="center"/>
    </xf>
    <xf numFmtId="0" fontId="0" fillId="0" borderId="0" xfId="1" applyFont="1" applyAlignment="1">
      <alignment vertical="center" wrapText="1"/>
    </xf>
    <xf numFmtId="0" fontId="6" fillId="6" borderId="0" xfId="1" applyFont="1" applyFill="1" applyAlignment="1">
      <alignment horizontal="left" vertical="center"/>
    </xf>
    <xf numFmtId="0" fontId="8" fillId="0" borderId="0" xfId="1" applyFont="1" applyAlignment="1">
      <alignment vertical="center"/>
    </xf>
    <xf numFmtId="176" fontId="9" fillId="7" borderId="0" xfId="1" applyNumberFormat="1" applyFont="1" applyFill="1" applyAlignment="1">
      <alignment horizontal="center" vertical="center"/>
    </xf>
    <xf numFmtId="178" fontId="9" fillId="7" borderId="0" xfId="1" applyNumberFormat="1" applyFont="1" applyFill="1" applyAlignment="1">
      <alignment horizontal="center" vertical="center"/>
    </xf>
    <xf numFmtId="179" fontId="9" fillId="7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7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177" fontId="0" fillId="4" borderId="0" xfId="1" applyNumberFormat="1" applyFont="1" applyFill="1" applyAlignment="1">
      <alignment vertical="center"/>
    </xf>
    <xf numFmtId="0" fontId="0" fillId="4" borderId="0" xfId="1" applyFont="1" applyFill="1" applyAlignment="1">
      <alignment vertical="center"/>
    </xf>
    <xf numFmtId="0" fontId="0" fillId="0" borderId="1" xfId="1" applyFont="1" applyBorder="1" applyAlignment="1">
      <alignment vertical="center"/>
    </xf>
    <xf numFmtId="177" fontId="0" fillId="0" borderId="1" xfId="1" applyNumberFormat="1" applyFont="1" applyBorder="1" applyAlignment="1">
      <alignment vertical="center"/>
    </xf>
    <xf numFmtId="180" fontId="0" fillId="0" borderId="1" xfId="1" applyNumberFormat="1" applyFont="1" applyBorder="1" applyAlignment="1">
      <alignment vertical="center"/>
    </xf>
    <xf numFmtId="178" fontId="0" fillId="0" borderId="1" xfId="1" applyNumberFormat="1" applyFont="1" applyBorder="1" applyAlignment="1">
      <alignment vertical="center"/>
    </xf>
    <xf numFmtId="0" fontId="0" fillId="0" borderId="2" xfId="1" applyFont="1" applyBorder="1" applyAlignment="1">
      <alignment vertical="center"/>
    </xf>
    <xf numFmtId="177" fontId="0" fillId="0" borderId="2" xfId="1" applyNumberFormat="1" applyFont="1" applyBorder="1" applyAlignment="1">
      <alignment vertical="center"/>
    </xf>
    <xf numFmtId="180" fontId="0" fillId="0" borderId="2" xfId="1" applyNumberFormat="1" applyFont="1" applyBorder="1" applyAlignment="1">
      <alignment vertical="center"/>
    </xf>
    <xf numFmtId="178" fontId="0" fillId="0" borderId="2" xfId="1" applyNumberFormat="1" applyFont="1" applyBorder="1" applyAlignment="1">
      <alignment vertical="center"/>
    </xf>
    <xf numFmtId="0" fontId="0" fillId="0" borderId="3" xfId="1" applyFont="1" applyBorder="1" applyAlignment="1">
      <alignment vertical="center"/>
    </xf>
    <xf numFmtId="177" fontId="0" fillId="0" borderId="3" xfId="1" applyNumberFormat="1" applyFont="1" applyBorder="1" applyAlignment="1">
      <alignment vertical="center"/>
    </xf>
    <xf numFmtId="180" fontId="0" fillId="0" borderId="3" xfId="1" applyNumberFormat="1" applyFont="1" applyBorder="1" applyAlignment="1">
      <alignment vertical="center"/>
    </xf>
    <xf numFmtId="178" fontId="0" fillId="0" borderId="3" xfId="1" applyNumberFormat="1" applyFont="1" applyBorder="1" applyAlignment="1">
      <alignment vertical="center"/>
    </xf>
    <xf numFmtId="1" fontId="0" fillId="8" borderId="0" xfId="1" applyNumberFormat="1" applyFont="1" applyFill="1" applyAlignment="1">
      <alignment horizontal="center" vertical="center"/>
    </xf>
    <xf numFmtId="1" fontId="0" fillId="9" borderId="0" xfId="1" applyNumberFormat="1" applyFont="1" applyFill="1" applyAlignment="1">
      <alignment horizontal="center" vertical="center"/>
    </xf>
    <xf numFmtId="1" fontId="0" fillId="10" borderId="0" xfId="1" applyNumberFormat="1" applyFont="1" applyFill="1" applyAlignment="1">
      <alignment horizontal="center" vertical="center"/>
    </xf>
    <xf numFmtId="1" fontId="0" fillId="11" borderId="0" xfId="1" applyNumberFormat="1" applyFont="1" applyFill="1" applyAlignment="1">
      <alignment horizontal="center" vertical="center"/>
    </xf>
    <xf numFmtId="0" fontId="12" fillId="0" borderId="0" xfId="1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76" fontId="0" fillId="3" borderId="0" xfId="0" applyNumberFormat="1" applyFill="1" applyAlignment="1">
      <alignment vertical="center"/>
    </xf>
    <xf numFmtId="176" fontId="0" fillId="4" borderId="0" xfId="0" applyNumberFormat="1" applyFill="1" applyAlignment="1">
      <alignment vertical="center"/>
    </xf>
    <xf numFmtId="0" fontId="4" fillId="0" borderId="0" xfId="0" applyFont="1" applyAlignment="1">
      <alignment vertical="center"/>
    </xf>
    <xf numFmtId="0" fontId="16" fillId="13" borderId="0" xfId="0" applyFont="1" applyFill="1" applyAlignment="1">
      <alignment vertical="center"/>
    </xf>
    <xf numFmtId="0" fontId="16" fillId="14" borderId="0" xfId="0" applyFont="1" applyFill="1" applyAlignment="1">
      <alignment vertical="center"/>
    </xf>
    <xf numFmtId="0" fontId="17" fillId="15" borderId="4" xfId="0" applyFont="1" applyFill="1" applyBorder="1" applyAlignment="1">
      <alignment vertical="center" wrapText="1"/>
    </xf>
    <xf numFmtId="0" fontId="0" fillId="0" borderId="5" xfId="0" applyBorder="1"/>
    <xf numFmtId="0" fontId="0" fillId="0" borderId="6" xfId="0" applyBorder="1"/>
    <xf numFmtId="0" fontId="6" fillId="6" borderId="0" xfId="1" applyFont="1" applyFill="1" applyAlignment="1">
      <alignment horizontal="left" vertical="center"/>
    </xf>
    <xf numFmtId="0" fontId="14" fillId="12" borderId="0" xfId="0" applyFont="1" applyFill="1" applyAlignment="1">
      <alignment vertical="center"/>
    </xf>
    <xf numFmtId="0" fontId="15" fillId="0" borderId="0" xfId="0" applyFont="1" applyAlignment="1">
      <alignment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Plan" displayName="TaskPlan" ref="A4:J60" totalsRowShown="0">
  <tableColumns count="10">
    <tableColumn id="1" xr3:uid="{00000000-0010-0000-0000-000001000000}" name="ID"/>
    <tableColumn id="2" xr3:uid="{00000000-0010-0000-0000-000002000000}" name="段階"/>
    <tableColumn id="3" xr3:uid="{00000000-0010-0000-0000-000003000000}" name="カテゴリ"/>
    <tableColumn id="4" xr3:uid="{00000000-0010-0000-0000-000004000000}" name="作業項目"/>
    <tableColumn id="5" xr3:uid="{00000000-0010-0000-0000-000005000000}" name="優先度"/>
    <tableColumn id="6" xr3:uid="{00000000-0010-0000-0000-000006000000}" name="進捗状況"/>
    <tableColumn id="7" xr3:uid="{00000000-0010-0000-0000-000007000000}" name="予想コスト"/>
    <tableColumn id="8" xr3:uid="{00000000-0010-0000-0000-000008000000}" name="実コスト"/>
    <tableColumn id="9" xr3:uid="{00000000-0010-0000-0000-000009000000}" name="コード確認メモ"/>
    <tableColumn id="10" xr3:uid="{00000000-0010-0000-0000-00000A000000}" name="補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6324F"/>
  </sheetPr>
  <dimension ref="A1:O18"/>
  <sheetViews>
    <sheetView showGridLines="0" workbookViewId="0">
      <pane ySplit="3" topLeftCell="A4" activePane="bottomLeft" state="frozen"/>
      <selection pane="bottomLeft"/>
    </sheetView>
  </sheetViews>
  <sheetFormatPr defaultRowHeight="14.25"/>
  <cols>
    <col min="1" max="1" width="25" customWidth="1"/>
    <col min="2" max="2" width="18" customWidth="1"/>
    <col min="3" max="3" width="14" customWidth="1"/>
    <col min="4" max="4" width="22" customWidth="1"/>
    <col min="5" max="5" width="19" customWidth="1"/>
    <col min="6" max="6" width="4" customWidth="1"/>
    <col min="7" max="7" width="20" customWidth="1"/>
    <col min="8" max="9" width="4" customWidth="1"/>
    <col min="10" max="10" width="23" customWidth="1"/>
    <col min="11" max="12" width="4" customWidth="1"/>
    <col min="13" max="13" width="18" customWidth="1"/>
    <col min="14" max="15" width="4" customWidth="1"/>
  </cols>
  <sheetData>
    <row r="1" spans="1:15" ht="2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26.1" customHeight="1">
      <c r="A4" s="19" t="s">
        <v>2</v>
      </c>
      <c r="B4" s="6"/>
      <c r="C4" s="6"/>
      <c r="D4" s="19" t="s">
        <v>3</v>
      </c>
      <c r="E4" s="6"/>
      <c r="F4" s="6"/>
      <c r="G4" s="19" t="s">
        <v>4</v>
      </c>
      <c r="H4" s="6"/>
      <c r="I4" s="6"/>
      <c r="J4" s="19" t="s">
        <v>5</v>
      </c>
      <c r="K4" s="6"/>
      <c r="L4" s="6"/>
      <c r="M4" s="19" t="s">
        <v>6</v>
      </c>
      <c r="N4" s="6"/>
      <c r="O4" s="6"/>
    </row>
    <row r="5" spans="1:15" ht="26.1" customHeight="1">
      <c r="A5" s="20">
        <f>SUM(タスク!G5:G300)</f>
        <v>317</v>
      </c>
      <c r="B5" s="6"/>
      <c r="C5" s="6"/>
      <c r="D5" s="20">
        <f>IF(COUNT(タスク!H5:H300)=0,"",SUM(タスク!H5:H300))</f>
        <v>56</v>
      </c>
      <c r="E5" s="6"/>
      <c r="F5" s="6"/>
      <c r="G5" s="20">
        <f>A5-IF(D5="",0,D5)</f>
        <v>261</v>
      </c>
      <c r="H5" s="6"/>
      <c r="I5" s="6"/>
      <c r="J5" s="21">
        <f ca="1">マイルストーン!H8</f>
        <v>4.5</v>
      </c>
      <c r="K5" s="6"/>
      <c r="L5" s="6"/>
      <c r="M5" s="22">
        <f ca="1">マイルストーン!D8</f>
        <v>58</v>
      </c>
      <c r="N5" s="6"/>
      <c r="O5" s="6"/>
    </row>
    <row r="6" spans="1:1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>
      <c r="A7" s="25" t="s">
        <v>7</v>
      </c>
      <c r="B7" s="26">
        <v>46387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>
      <c r="A8" s="25" t="s">
        <v>8</v>
      </c>
      <c r="B8" s="27" t="s">
        <v>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>
      <c r="A9" s="25" t="s">
        <v>10</v>
      </c>
      <c r="B9" s="27" t="s">
        <v>11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ht="23.1" customHeight="1">
      <c r="A11" s="23" t="s">
        <v>12</v>
      </c>
      <c r="B11" s="23" t="s">
        <v>13</v>
      </c>
      <c r="C11" s="23" t="s">
        <v>6</v>
      </c>
      <c r="D11" s="23" t="s">
        <v>4</v>
      </c>
      <c r="E11" s="23" t="s">
        <v>14</v>
      </c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ht="23.1" customHeight="1">
      <c r="A12" s="28" t="s">
        <v>15</v>
      </c>
      <c r="B12" s="29">
        <v>46326</v>
      </c>
      <c r="C12" s="30">
        <f ca="1">マイルストーン!D4</f>
        <v>14</v>
      </c>
      <c r="D12" s="30">
        <f>マイルストーン!G4</f>
        <v>121</v>
      </c>
      <c r="E12" s="31">
        <f ca="1">マイルストーン!H4</f>
        <v>8.6428571428571423</v>
      </c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ht="23.1" customHeight="1">
      <c r="A13" s="32" t="s">
        <v>16</v>
      </c>
      <c r="B13" s="33">
        <v>46351</v>
      </c>
      <c r="C13" s="34">
        <f ca="1">マイルストーン!D5</f>
        <v>32</v>
      </c>
      <c r="D13" s="34">
        <f>マイルストーン!G5</f>
        <v>228</v>
      </c>
      <c r="E13" s="35">
        <f ca="1">マイルストーン!H5</f>
        <v>7.125</v>
      </c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ht="23.1" customHeight="1">
      <c r="A14" s="32" t="s">
        <v>17</v>
      </c>
      <c r="B14" s="33">
        <v>46372</v>
      </c>
      <c r="C14" s="34">
        <f ca="1">マイルストーン!D6</f>
        <v>47</v>
      </c>
      <c r="D14" s="34">
        <f>マイルストーン!G6</f>
        <v>253</v>
      </c>
      <c r="E14" s="35">
        <f ca="1">マイルストーン!H6</f>
        <v>5.3829787234042552</v>
      </c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ht="23.1" customHeight="1">
      <c r="A15" s="32" t="s">
        <v>18</v>
      </c>
      <c r="B15" s="33">
        <v>46387</v>
      </c>
      <c r="C15" s="34">
        <f ca="1">マイルストーン!D7</f>
        <v>58</v>
      </c>
      <c r="D15" s="34">
        <f>マイルストーン!G7</f>
        <v>261</v>
      </c>
      <c r="E15" s="35">
        <f ca="1">マイルストーン!H7</f>
        <v>4.5</v>
      </c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ht="23.1" customHeight="1">
      <c r="A16" s="36" t="s">
        <v>19</v>
      </c>
      <c r="B16" s="37">
        <v>46387</v>
      </c>
      <c r="C16" s="38">
        <f ca="1">マイルストーン!D8</f>
        <v>58</v>
      </c>
      <c r="D16" s="38">
        <f>マイルストーン!G8</f>
        <v>261</v>
      </c>
      <c r="E16" s="39">
        <f ca="1">マイルストーン!H8</f>
        <v>4.5</v>
      </c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>
      <c r="A18" s="5" t="s">
        <v>20</v>
      </c>
      <c r="B18" s="5"/>
      <c r="C18" s="5"/>
      <c r="D18" s="5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5B5"/>
  </sheetPr>
  <dimension ref="A1:AB300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D34" sqref="D34"/>
    </sheetView>
  </sheetViews>
  <sheetFormatPr defaultRowHeight="14.25"/>
  <cols>
    <col min="1" max="1" width="9" customWidth="1"/>
    <col min="2" max="2" width="12" customWidth="1"/>
    <col min="3" max="3" width="15" customWidth="1"/>
    <col min="4" max="4" width="36" customWidth="1"/>
    <col min="5" max="5" width="10" customWidth="1"/>
    <col min="6" max="6" width="20" customWidth="1"/>
    <col min="7" max="8" width="15" customWidth="1"/>
    <col min="9" max="9" width="66" customWidth="1"/>
    <col min="10" max="10" width="36" customWidth="1"/>
    <col min="11" max="11" width="12" customWidth="1"/>
    <col min="27" max="28" width="0" hidden="1" customWidth="1"/>
  </cols>
  <sheetData>
    <row r="1" spans="1:28" ht="19.5">
      <c r="A1" s="4" t="s">
        <v>228</v>
      </c>
      <c r="B1" s="4"/>
      <c r="C1" s="4"/>
      <c r="D1" s="4"/>
      <c r="E1" s="4"/>
      <c r="F1" s="4"/>
      <c r="G1" s="4"/>
      <c r="H1" s="4"/>
      <c r="I1" s="4"/>
      <c r="J1" s="4"/>
    </row>
    <row r="2" spans="1:28">
      <c r="A2" s="5" t="s">
        <v>229</v>
      </c>
      <c r="B2" s="5"/>
      <c r="C2" s="5"/>
      <c r="D2" s="5"/>
      <c r="E2" s="5"/>
      <c r="F2" s="5"/>
      <c r="G2" s="5"/>
      <c r="H2" s="5"/>
      <c r="I2" s="5"/>
      <c r="J2" s="5"/>
    </row>
    <row r="3" spans="1:28">
      <c r="A3" s="6" t="s">
        <v>21</v>
      </c>
      <c r="B3" s="6"/>
      <c r="C3" s="6"/>
      <c r="D3" s="6"/>
      <c r="E3" s="6"/>
      <c r="F3" s="6"/>
      <c r="G3" s="6"/>
      <c r="H3" s="6"/>
      <c r="I3" s="6"/>
      <c r="J3" s="6"/>
    </row>
    <row r="4" spans="1:28">
      <c r="A4" s="3" t="s">
        <v>22</v>
      </c>
      <c r="B4" s="3" t="s">
        <v>12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</v>
      </c>
      <c r="H4" s="3" t="s">
        <v>3</v>
      </c>
      <c r="I4" s="3" t="s">
        <v>27</v>
      </c>
      <c r="J4" s="3" t="s">
        <v>28</v>
      </c>
      <c r="K4" s="45" t="s">
        <v>230</v>
      </c>
      <c r="AA4" t="s">
        <v>231</v>
      </c>
      <c r="AB4" t="s">
        <v>232</v>
      </c>
    </row>
    <row r="5" spans="1:28">
      <c r="A5" s="6" t="s">
        <v>29</v>
      </c>
      <c r="B5" s="6" t="s">
        <v>15</v>
      </c>
      <c r="C5" s="6" t="s">
        <v>30</v>
      </c>
      <c r="D5" s="6" t="s">
        <v>31</v>
      </c>
      <c r="E5" s="6" t="s">
        <v>32</v>
      </c>
      <c r="F5" s="44" t="s">
        <v>33</v>
      </c>
      <c r="G5" s="7">
        <v>5</v>
      </c>
      <c r="H5" s="8"/>
      <c r="I5" s="9" t="s">
        <v>34</v>
      </c>
      <c r="J5" s="9"/>
      <c r="K5" t="s">
        <v>230</v>
      </c>
      <c r="AA5">
        <f t="shared" ref="AA5:AA68" si="0">IF(B5="プロト",1,IF(B5="アルファ",2,IF(B5="ベータ",3,IF(B5="マスター",4,5))))</f>
        <v>1</v>
      </c>
      <c r="AB5">
        <f>IF(AND(A5&lt;&gt;"",K5&lt;&gt;"非表示",IF(タスク一覧!$B$4="すべて",TRUE,B5=タスク一覧!$B$4),IF(タスク一覧!$E$4="すべて",TRUE,C5=タスク一覧!$E$4),IF(タスク一覧!$H$4="すべて",TRUE,IF(タスク一覧!$H$4="完了以外",F5&lt;&gt;"完了",F5=タスク一覧!$H$4))),AA5*1000000+COUNTIF($C$5:$C$300,"&lt;"&amp;C5)*1000+ROW(),1000000000000)</f>
        <v>1050005</v>
      </c>
    </row>
    <row r="6" spans="1:28">
      <c r="A6" s="6" t="s">
        <v>35</v>
      </c>
      <c r="B6" s="6" t="s">
        <v>15</v>
      </c>
      <c r="C6" s="6" t="s">
        <v>30</v>
      </c>
      <c r="D6" s="6" t="s">
        <v>36</v>
      </c>
      <c r="E6" s="6" t="s">
        <v>32</v>
      </c>
      <c r="F6" s="6" t="s">
        <v>37</v>
      </c>
      <c r="G6" s="7">
        <v>1</v>
      </c>
      <c r="H6" s="8">
        <v>1</v>
      </c>
      <c r="I6" s="9" t="s">
        <v>38</v>
      </c>
      <c r="J6" s="9"/>
      <c r="K6" t="s">
        <v>230</v>
      </c>
      <c r="AA6">
        <f t="shared" si="0"/>
        <v>1</v>
      </c>
      <c r="AB6">
        <f>IF(AND(A6&lt;&gt;"",K6&lt;&gt;"非表示",IF(タスク一覧!$B$4="すべて",TRUE,B6=タスク一覧!$B$4),IF(タスク一覧!$E$4="すべて",TRUE,C6=タスク一覧!$E$4),IF(タスク一覧!$H$4="すべて",TRUE,IF(タスク一覧!$H$4="完了以外",F6&lt;&gt;"完了",F6=タスク一覧!$H$4))),AA6*1000000+COUNTIF($C$5:$C$300,"&lt;"&amp;C6)*1000+ROW(),1000000000000)</f>
        <v>1050006</v>
      </c>
    </row>
    <row r="7" spans="1:28">
      <c r="A7" s="6" t="s">
        <v>39</v>
      </c>
      <c r="B7" s="6" t="s">
        <v>15</v>
      </c>
      <c r="C7" s="6" t="s">
        <v>30</v>
      </c>
      <c r="D7" s="6" t="s">
        <v>40</v>
      </c>
      <c r="E7" s="6" t="s">
        <v>32</v>
      </c>
      <c r="F7" s="6" t="s">
        <v>37</v>
      </c>
      <c r="G7" s="7">
        <v>2</v>
      </c>
      <c r="H7" s="8">
        <v>2</v>
      </c>
      <c r="I7" s="9" t="s">
        <v>41</v>
      </c>
      <c r="J7" s="9"/>
      <c r="K7" t="s">
        <v>230</v>
      </c>
      <c r="AA7">
        <f t="shared" si="0"/>
        <v>1</v>
      </c>
      <c r="AB7">
        <f>IF(AND(A7&lt;&gt;"",K7&lt;&gt;"非表示",IF(タスク一覧!$B$4="すべて",TRUE,B7=タスク一覧!$B$4),IF(タスク一覧!$E$4="すべて",TRUE,C7=タスク一覧!$E$4),IF(タスク一覧!$H$4="すべて",TRUE,IF(タスク一覧!$H$4="完了以外",F7&lt;&gt;"完了",F7=タスク一覧!$H$4))),AA7*1000000+COUNTIF($C$5:$C$300,"&lt;"&amp;C7)*1000+ROW(),1000000000000)</f>
        <v>1050007</v>
      </c>
    </row>
    <row r="8" spans="1:28">
      <c r="A8" s="6" t="s">
        <v>42</v>
      </c>
      <c r="B8" s="6" t="s">
        <v>15</v>
      </c>
      <c r="C8" s="6" t="s">
        <v>30</v>
      </c>
      <c r="D8" s="6" t="s">
        <v>43</v>
      </c>
      <c r="E8" s="6" t="s">
        <v>32</v>
      </c>
      <c r="F8" s="6" t="s">
        <v>37</v>
      </c>
      <c r="G8" s="7">
        <v>5</v>
      </c>
      <c r="H8" s="8">
        <v>5</v>
      </c>
      <c r="I8" s="9" t="s">
        <v>44</v>
      </c>
      <c r="J8" s="9"/>
      <c r="K8" t="s">
        <v>230</v>
      </c>
      <c r="AA8">
        <f t="shared" si="0"/>
        <v>1</v>
      </c>
      <c r="AB8">
        <f>IF(AND(A8&lt;&gt;"",K8&lt;&gt;"非表示",IF(タスク一覧!$B$4="すべて",TRUE,B8=タスク一覧!$B$4),IF(タスク一覧!$E$4="すべて",TRUE,C8=タスク一覧!$E$4),IF(タスク一覧!$H$4="すべて",TRUE,IF(タスク一覧!$H$4="完了以外",F8&lt;&gt;"完了",F8=タスク一覧!$H$4))),AA8*1000000+COUNTIF($C$5:$C$300,"&lt;"&amp;C8)*1000+ROW(),1000000000000)</f>
        <v>1050008</v>
      </c>
    </row>
    <row r="9" spans="1:28">
      <c r="A9" s="6" t="s">
        <v>45</v>
      </c>
      <c r="B9" s="6" t="s">
        <v>15</v>
      </c>
      <c r="C9" s="6" t="s">
        <v>46</v>
      </c>
      <c r="D9" s="6" t="s">
        <v>47</v>
      </c>
      <c r="E9" s="6" t="s">
        <v>32</v>
      </c>
      <c r="F9" s="6" t="s">
        <v>37</v>
      </c>
      <c r="G9" s="7">
        <v>2</v>
      </c>
      <c r="H9" s="8">
        <v>2</v>
      </c>
      <c r="I9" s="9" t="s">
        <v>48</v>
      </c>
      <c r="J9" s="9"/>
      <c r="K9" t="s">
        <v>230</v>
      </c>
      <c r="AA9">
        <f t="shared" si="0"/>
        <v>1</v>
      </c>
      <c r="AB9">
        <f>IF(AND(A9&lt;&gt;"",K9&lt;&gt;"非表示",IF(タスク一覧!$B$4="すべて",TRUE,B9=タスク一覧!$B$4),IF(タスク一覧!$E$4="すべて",TRUE,C9=タスク一覧!$E$4),IF(タスク一覧!$H$4="すべて",TRUE,IF(タスク一覧!$H$4="完了以外",F9&lt;&gt;"完了",F9=タスク一覧!$H$4))),AA9*1000000+COUNTIF($C$5:$C$300,"&lt;"&amp;C9)*1000+ROW(),1000000000000)</f>
        <v>1023009</v>
      </c>
    </row>
    <row r="10" spans="1:28">
      <c r="A10" s="6" t="s">
        <v>49</v>
      </c>
      <c r="B10" s="6" t="s">
        <v>15</v>
      </c>
      <c r="C10" s="6" t="s">
        <v>46</v>
      </c>
      <c r="D10" s="6" t="s">
        <v>50</v>
      </c>
      <c r="E10" s="6" t="s">
        <v>32</v>
      </c>
      <c r="F10" s="6" t="s">
        <v>37</v>
      </c>
      <c r="G10" s="7">
        <v>1</v>
      </c>
      <c r="H10" s="8">
        <v>1</v>
      </c>
      <c r="I10" s="9" t="s">
        <v>51</v>
      </c>
      <c r="J10" s="9"/>
      <c r="K10" t="s">
        <v>230</v>
      </c>
      <c r="AA10">
        <f t="shared" si="0"/>
        <v>1</v>
      </c>
      <c r="AB10">
        <f>IF(AND(A10&lt;&gt;"",K10&lt;&gt;"非表示",IF(タスク一覧!$B$4="すべて",TRUE,B10=タスク一覧!$B$4),IF(タスク一覧!$E$4="すべて",TRUE,C10=タスク一覧!$E$4),IF(タスク一覧!$H$4="すべて",TRUE,IF(タスク一覧!$H$4="完了以外",F10&lt;&gt;"完了",F10=タスク一覧!$H$4))),AA10*1000000+COUNTIF($C$5:$C$300,"&lt;"&amp;C10)*1000+ROW(),1000000000000)</f>
        <v>1023010</v>
      </c>
    </row>
    <row r="11" spans="1:28">
      <c r="A11" s="6" t="s">
        <v>52</v>
      </c>
      <c r="B11" s="6" t="s">
        <v>15</v>
      </c>
      <c r="C11" s="6" t="s">
        <v>46</v>
      </c>
      <c r="D11" s="6" t="s">
        <v>53</v>
      </c>
      <c r="E11" s="6" t="s">
        <v>54</v>
      </c>
      <c r="F11" s="6" t="s">
        <v>37</v>
      </c>
      <c r="G11" s="7">
        <v>2</v>
      </c>
      <c r="H11" s="8">
        <v>2</v>
      </c>
      <c r="I11" s="9" t="s">
        <v>55</v>
      </c>
      <c r="J11" s="9"/>
      <c r="K11" t="s">
        <v>230</v>
      </c>
      <c r="AA11">
        <f t="shared" si="0"/>
        <v>1</v>
      </c>
      <c r="AB11">
        <f>IF(AND(A11&lt;&gt;"",K11&lt;&gt;"非表示",IF(タスク一覧!$B$4="すべて",TRUE,B11=タスク一覧!$B$4),IF(タスク一覧!$E$4="すべて",TRUE,C11=タスク一覧!$E$4),IF(タスク一覧!$H$4="すべて",TRUE,IF(タスク一覧!$H$4="完了以外",F11&lt;&gt;"完了",F11=タスク一覧!$H$4))),AA11*1000000+COUNTIF($C$5:$C$300,"&lt;"&amp;C11)*1000+ROW(),1000000000000)</f>
        <v>1023011</v>
      </c>
    </row>
    <row r="12" spans="1:28">
      <c r="A12" s="6" t="s">
        <v>56</v>
      </c>
      <c r="B12" s="6" t="s">
        <v>15</v>
      </c>
      <c r="C12" s="6" t="s">
        <v>46</v>
      </c>
      <c r="D12" s="6" t="s">
        <v>57</v>
      </c>
      <c r="E12" s="6" t="s">
        <v>32</v>
      </c>
      <c r="F12" s="6" t="s">
        <v>58</v>
      </c>
      <c r="G12" s="7">
        <v>1</v>
      </c>
      <c r="H12" s="8"/>
      <c r="I12" s="9" t="s">
        <v>59</v>
      </c>
      <c r="J12" s="9"/>
      <c r="K12" t="s">
        <v>230</v>
      </c>
      <c r="AA12">
        <f t="shared" si="0"/>
        <v>1</v>
      </c>
      <c r="AB12">
        <f>IF(AND(A12&lt;&gt;"",K12&lt;&gt;"非表示",IF(タスク一覧!$B$4="すべて",TRUE,B12=タスク一覧!$B$4),IF(タスク一覧!$E$4="すべて",TRUE,C12=タスク一覧!$E$4),IF(タスク一覧!$H$4="すべて",TRUE,IF(タスク一覧!$H$4="完了以外",F12&lt;&gt;"完了",F12=タスク一覧!$H$4))),AA12*1000000+COUNTIF($C$5:$C$300,"&lt;"&amp;C12)*1000+ROW(),1000000000000)</f>
        <v>1023012</v>
      </c>
    </row>
    <row r="13" spans="1:28">
      <c r="A13" s="6" t="s">
        <v>60</v>
      </c>
      <c r="B13" s="6" t="s">
        <v>15</v>
      </c>
      <c r="C13" s="6" t="s">
        <v>46</v>
      </c>
      <c r="D13" s="6" t="s">
        <v>61</v>
      </c>
      <c r="E13" s="6" t="s">
        <v>32</v>
      </c>
      <c r="F13" s="6" t="s">
        <v>37</v>
      </c>
      <c r="G13" s="7">
        <v>10</v>
      </c>
      <c r="H13" s="8"/>
      <c r="I13" s="9" t="s">
        <v>62</v>
      </c>
      <c r="J13" s="9"/>
      <c r="K13" t="s">
        <v>230</v>
      </c>
      <c r="AA13">
        <f t="shared" si="0"/>
        <v>1</v>
      </c>
      <c r="AB13">
        <f>IF(AND(A13&lt;&gt;"",K13&lt;&gt;"非表示",IF(タスク一覧!$B$4="すべて",TRUE,B13=タスク一覧!$B$4),IF(タスク一覧!$E$4="すべて",TRUE,C13=タスク一覧!$E$4),IF(タスク一覧!$H$4="すべて",TRUE,IF(タスク一覧!$H$4="完了以外",F13&lt;&gt;"完了",F13=タスク一覧!$H$4))),AA13*1000000+COUNTIF($C$5:$C$300,"&lt;"&amp;C13)*1000+ROW(),1000000000000)</f>
        <v>1023013</v>
      </c>
    </row>
    <row r="14" spans="1:28">
      <c r="A14" s="6" t="s">
        <v>63</v>
      </c>
      <c r="B14" s="6" t="s">
        <v>15</v>
      </c>
      <c r="C14" s="6" t="s">
        <v>46</v>
      </c>
      <c r="D14" s="6" t="s">
        <v>64</v>
      </c>
      <c r="E14" s="6" t="s">
        <v>32</v>
      </c>
      <c r="F14" s="6" t="s">
        <v>65</v>
      </c>
      <c r="G14" s="7">
        <v>9</v>
      </c>
      <c r="H14" s="8"/>
      <c r="I14" s="9" t="s">
        <v>66</v>
      </c>
      <c r="J14" s="9"/>
      <c r="K14" t="s">
        <v>230</v>
      </c>
      <c r="AA14">
        <f t="shared" si="0"/>
        <v>1</v>
      </c>
      <c r="AB14">
        <f>IF(AND(A14&lt;&gt;"",K14&lt;&gt;"非表示",IF(タスク一覧!$B$4="すべて",TRUE,B14=タスク一覧!$B$4),IF(タスク一覧!$E$4="すべて",TRUE,C14=タスク一覧!$E$4),IF(タスク一覧!$H$4="すべて",TRUE,IF(タスク一覧!$H$4="完了以外",F14&lt;&gt;"完了",F14=タスク一覧!$H$4))),AA14*1000000+COUNTIF($C$5:$C$300,"&lt;"&amp;C14)*1000+ROW(),1000000000000)</f>
        <v>1023014</v>
      </c>
    </row>
    <row r="15" spans="1:28">
      <c r="A15" s="6" t="s">
        <v>67</v>
      </c>
      <c r="B15" s="6" t="s">
        <v>15</v>
      </c>
      <c r="C15" s="6" t="s">
        <v>46</v>
      </c>
      <c r="D15" s="6" t="s">
        <v>68</v>
      </c>
      <c r="E15" s="6" t="s">
        <v>54</v>
      </c>
      <c r="F15" s="6" t="s">
        <v>58</v>
      </c>
      <c r="G15" s="7">
        <v>5</v>
      </c>
      <c r="H15" s="8"/>
      <c r="I15" s="9" t="s">
        <v>69</v>
      </c>
      <c r="J15" s="9"/>
      <c r="K15" t="s">
        <v>230</v>
      </c>
      <c r="AA15">
        <f t="shared" si="0"/>
        <v>1</v>
      </c>
      <c r="AB15">
        <f>IF(AND(A15&lt;&gt;"",K15&lt;&gt;"非表示",IF(タスク一覧!$B$4="すべて",TRUE,B15=タスク一覧!$B$4),IF(タスク一覧!$E$4="すべて",TRUE,C15=タスク一覧!$E$4),IF(タスク一覧!$H$4="すべて",TRUE,IF(タスク一覧!$H$4="完了以外",F15&lt;&gt;"完了",F15=タスク一覧!$H$4))),AA15*1000000+COUNTIF($C$5:$C$300,"&lt;"&amp;C15)*1000+ROW(),1000000000000)</f>
        <v>1023015</v>
      </c>
    </row>
    <row r="16" spans="1:28">
      <c r="A16" s="6" t="s">
        <v>70</v>
      </c>
      <c r="B16" s="6" t="s">
        <v>15</v>
      </c>
      <c r="C16" s="6" t="s">
        <v>71</v>
      </c>
      <c r="D16" s="6" t="s">
        <v>72</v>
      </c>
      <c r="E16" s="6" t="s">
        <v>32</v>
      </c>
      <c r="F16" s="6" t="s">
        <v>37</v>
      </c>
      <c r="G16" s="7">
        <v>7</v>
      </c>
      <c r="H16" s="8">
        <v>5</v>
      </c>
      <c r="I16" s="9" t="s">
        <v>73</v>
      </c>
      <c r="J16" s="9"/>
      <c r="K16" t="s">
        <v>230</v>
      </c>
      <c r="AA16">
        <f t="shared" si="0"/>
        <v>1</v>
      </c>
      <c r="AB16">
        <f>IF(AND(A16&lt;&gt;"",K16&lt;&gt;"非表示",IF(タスク一覧!$B$4="すべて",TRUE,B16=タスク一覧!$B$4),IF(タスク一覧!$E$4="すべて",TRUE,C16=タスク一覧!$E$4),IF(タスク一覧!$H$4="すべて",TRUE,IF(タスク一覧!$H$4="完了以外",F16&lt;&gt;"完了",F16=タスク一覧!$H$4))),AA16*1000000+COUNTIF($C$5:$C$300,"&lt;"&amp;C16)*1000+ROW(),1000000000000)</f>
        <v>1001016</v>
      </c>
    </row>
    <row r="17" spans="1:28">
      <c r="A17" s="6" t="s">
        <v>74</v>
      </c>
      <c r="B17" s="6" t="s">
        <v>15</v>
      </c>
      <c r="C17" s="6" t="s">
        <v>71</v>
      </c>
      <c r="D17" s="6" t="s">
        <v>75</v>
      </c>
      <c r="E17" s="6" t="s">
        <v>32</v>
      </c>
      <c r="F17" s="6" t="s">
        <v>33</v>
      </c>
      <c r="G17" s="7">
        <v>7</v>
      </c>
      <c r="H17" s="8">
        <v>5</v>
      </c>
      <c r="I17" s="9" t="s">
        <v>76</v>
      </c>
      <c r="J17" s="9"/>
      <c r="K17" t="s">
        <v>230</v>
      </c>
      <c r="AA17">
        <f t="shared" si="0"/>
        <v>1</v>
      </c>
      <c r="AB17">
        <f>IF(AND(A17&lt;&gt;"",K17&lt;&gt;"非表示",IF(タスク一覧!$B$4="すべて",TRUE,B17=タスク一覧!$B$4),IF(タスク一覧!$E$4="すべて",TRUE,C17=タスク一覧!$E$4),IF(タスク一覧!$H$4="すべて",TRUE,IF(タスク一覧!$H$4="完了以外",F17&lt;&gt;"完了",F17=タスク一覧!$H$4))),AA17*1000000+COUNTIF($C$5:$C$300,"&lt;"&amp;C17)*1000+ROW(),1000000000000)</f>
        <v>1001017</v>
      </c>
    </row>
    <row r="18" spans="1:28">
      <c r="A18" s="6" t="s">
        <v>77</v>
      </c>
      <c r="B18" s="6" t="s">
        <v>15</v>
      </c>
      <c r="C18" s="6" t="s">
        <v>78</v>
      </c>
      <c r="D18" s="6" t="s">
        <v>79</v>
      </c>
      <c r="E18" s="6" t="s">
        <v>32</v>
      </c>
      <c r="F18" s="6" t="s">
        <v>33</v>
      </c>
      <c r="G18" s="7">
        <v>7</v>
      </c>
      <c r="H18" s="8"/>
      <c r="I18" s="9" t="s">
        <v>80</v>
      </c>
      <c r="J18" s="9"/>
      <c r="K18" t="s">
        <v>230</v>
      </c>
      <c r="AA18">
        <f t="shared" si="0"/>
        <v>1</v>
      </c>
      <c r="AB18">
        <f>IF(AND(A18&lt;&gt;"",K18&lt;&gt;"非表示",IF(タスク一覧!$B$4="すべて",TRUE,B18=タスク一覧!$B$4),IF(タスク一覧!$E$4="すべて",TRUE,C18=タスク一覧!$E$4),IF(タスク一覧!$H$4="すべて",TRUE,IF(タスク一覧!$H$4="完了以外",F18&lt;&gt;"完了",F18=タスク一覧!$H$4))),AA18*1000000+COUNTIF($C$5:$C$300,"&lt;"&amp;C18)*1000+ROW(),1000000000000)</f>
        <v>1018018</v>
      </c>
    </row>
    <row r="19" spans="1:28">
      <c r="A19" s="6" t="s">
        <v>81</v>
      </c>
      <c r="B19" s="6" t="s">
        <v>15</v>
      </c>
      <c r="C19" s="6" t="s">
        <v>78</v>
      </c>
      <c r="D19" s="6" t="s">
        <v>82</v>
      </c>
      <c r="E19" s="6" t="s">
        <v>32</v>
      </c>
      <c r="F19" s="6" t="s">
        <v>83</v>
      </c>
      <c r="G19" s="7">
        <v>5</v>
      </c>
      <c r="H19" s="8"/>
      <c r="I19" s="9" t="s">
        <v>84</v>
      </c>
      <c r="J19" s="9"/>
      <c r="K19" t="s">
        <v>230</v>
      </c>
      <c r="AA19">
        <f t="shared" si="0"/>
        <v>1</v>
      </c>
      <c r="AB19">
        <f>IF(AND(A19&lt;&gt;"",K19&lt;&gt;"非表示",IF(タスク一覧!$B$4="すべて",TRUE,B19=タスク一覧!$B$4),IF(タスク一覧!$E$4="すべて",TRUE,C19=タスク一覧!$E$4),IF(タスク一覧!$H$4="すべて",TRUE,IF(タスク一覧!$H$4="完了以外",F19&lt;&gt;"完了",F19=タスク一覧!$H$4))),AA19*1000000+COUNTIF($C$5:$C$300,"&lt;"&amp;C19)*1000+ROW(),1000000000000)</f>
        <v>1018019</v>
      </c>
    </row>
    <row r="20" spans="1:28">
      <c r="A20" s="6" t="s">
        <v>85</v>
      </c>
      <c r="B20" s="6" t="s">
        <v>15</v>
      </c>
      <c r="C20" s="6" t="s">
        <v>78</v>
      </c>
      <c r="D20" s="6" t="s">
        <v>86</v>
      </c>
      <c r="E20" s="6" t="s">
        <v>32</v>
      </c>
      <c r="F20" s="6" t="s">
        <v>33</v>
      </c>
      <c r="G20" s="7">
        <v>7</v>
      </c>
      <c r="H20" s="8"/>
      <c r="I20" s="9" t="s">
        <v>87</v>
      </c>
      <c r="J20" s="9"/>
      <c r="K20" t="s">
        <v>230</v>
      </c>
      <c r="AA20">
        <f t="shared" si="0"/>
        <v>1</v>
      </c>
      <c r="AB20">
        <f>IF(AND(A20&lt;&gt;"",K20&lt;&gt;"非表示",IF(タスク一覧!$B$4="すべて",TRUE,B20=タスク一覧!$B$4),IF(タスク一覧!$E$4="すべて",TRUE,C20=タスク一覧!$E$4),IF(タスク一覧!$H$4="すべて",TRUE,IF(タスク一覧!$H$4="完了以外",F20&lt;&gt;"完了",F20=タスク一覧!$H$4))),AA20*1000000+COUNTIF($C$5:$C$300,"&lt;"&amp;C20)*1000+ROW(),1000000000000)</f>
        <v>1018020</v>
      </c>
    </row>
    <row r="21" spans="1:28">
      <c r="A21" s="6" t="s">
        <v>88</v>
      </c>
      <c r="B21" s="6" t="s">
        <v>15</v>
      </c>
      <c r="C21" s="6" t="s">
        <v>78</v>
      </c>
      <c r="D21" s="6" t="s">
        <v>89</v>
      </c>
      <c r="E21" s="6" t="s">
        <v>32</v>
      </c>
      <c r="F21" s="6" t="s">
        <v>33</v>
      </c>
      <c r="G21" s="7">
        <v>8</v>
      </c>
      <c r="H21" s="8"/>
      <c r="I21" s="9" t="s">
        <v>90</v>
      </c>
      <c r="J21" s="9"/>
      <c r="K21" t="s">
        <v>230</v>
      </c>
      <c r="AA21">
        <f t="shared" si="0"/>
        <v>1</v>
      </c>
      <c r="AB21">
        <f>IF(AND(A21&lt;&gt;"",K21&lt;&gt;"非表示",IF(タスク一覧!$B$4="すべて",TRUE,B21=タスク一覧!$B$4),IF(タスク一覧!$E$4="すべて",TRUE,C21=タスク一覧!$E$4),IF(タスク一覧!$H$4="すべて",TRUE,IF(タスク一覧!$H$4="完了以外",F21&lt;&gt;"完了",F21=タスク一覧!$H$4))),AA21*1000000+COUNTIF($C$5:$C$300,"&lt;"&amp;C21)*1000+ROW(),1000000000000)</f>
        <v>1018021</v>
      </c>
    </row>
    <row r="22" spans="1:28">
      <c r="A22" s="6" t="s">
        <v>91</v>
      </c>
      <c r="B22" s="6" t="s">
        <v>15</v>
      </c>
      <c r="C22" s="6" t="s">
        <v>92</v>
      </c>
      <c r="D22" s="6" t="s">
        <v>93</v>
      </c>
      <c r="E22" s="6" t="s">
        <v>32</v>
      </c>
      <c r="F22" s="6" t="s">
        <v>83</v>
      </c>
      <c r="G22" s="7">
        <v>4</v>
      </c>
      <c r="H22" s="8">
        <v>2</v>
      </c>
      <c r="I22" s="9" t="s">
        <v>94</v>
      </c>
      <c r="J22" s="9"/>
      <c r="K22" t="s">
        <v>230</v>
      </c>
      <c r="AA22">
        <f t="shared" si="0"/>
        <v>1</v>
      </c>
      <c r="AB22">
        <f>IF(AND(A22&lt;&gt;"",K22&lt;&gt;"非表示",IF(タスク一覧!$B$4="すべて",TRUE,B22=タスク一覧!$B$4),IF(タスク一覧!$E$4="すべて",TRUE,C22=タスク一覧!$E$4),IF(タスク一覧!$H$4="すべて",TRUE,IF(タスク一覧!$H$4="完了以外",F22&lt;&gt;"完了",F22=タスク一覧!$H$4))),AA22*1000000+COUNTIF($C$5:$C$300,"&lt;"&amp;C22)*1000+ROW(),1000000000000)</f>
        <v>1041022</v>
      </c>
    </row>
    <row r="23" spans="1:28">
      <c r="A23" s="6" t="s">
        <v>95</v>
      </c>
      <c r="B23" s="6" t="s">
        <v>15</v>
      </c>
      <c r="C23" s="6" t="s">
        <v>92</v>
      </c>
      <c r="D23" s="6" t="s">
        <v>96</v>
      </c>
      <c r="E23" s="6" t="s">
        <v>32</v>
      </c>
      <c r="F23" s="6" t="s">
        <v>83</v>
      </c>
      <c r="G23" s="7">
        <v>4</v>
      </c>
      <c r="H23" s="8">
        <v>4</v>
      </c>
      <c r="I23" s="9" t="s">
        <v>97</v>
      </c>
      <c r="J23" s="9"/>
      <c r="K23" t="s">
        <v>230</v>
      </c>
      <c r="AA23">
        <f t="shared" si="0"/>
        <v>1</v>
      </c>
      <c r="AB23">
        <f>IF(AND(A23&lt;&gt;"",K23&lt;&gt;"非表示",IF(タスク一覧!$B$4="すべて",TRUE,B23=タスク一覧!$B$4),IF(タスク一覧!$E$4="すべて",TRUE,C23=タスク一覧!$E$4),IF(タスク一覧!$H$4="すべて",TRUE,IF(タスク一覧!$H$4="完了以外",F23&lt;&gt;"完了",F23=タスク一覧!$H$4))),AA23*1000000+COUNTIF($C$5:$C$300,"&lt;"&amp;C23)*1000+ROW(),1000000000000)</f>
        <v>1041023</v>
      </c>
    </row>
    <row r="24" spans="1:28">
      <c r="A24" s="6" t="s">
        <v>98</v>
      </c>
      <c r="B24" s="6" t="s">
        <v>16</v>
      </c>
      <c r="C24" s="6" t="s">
        <v>92</v>
      </c>
      <c r="D24" s="6" t="s">
        <v>99</v>
      </c>
      <c r="E24" s="6" t="s">
        <v>32</v>
      </c>
      <c r="F24" s="6" t="s">
        <v>33</v>
      </c>
      <c r="G24" s="7">
        <v>6</v>
      </c>
      <c r="H24" s="8"/>
      <c r="I24" s="9" t="s">
        <v>100</v>
      </c>
      <c r="J24" s="9"/>
      <c r="K24" t="s">
        <v>230</v>
      </c>
      <c r="AA24">
        <f t="shared" si="0"/>
        <v>2</v>
      </c>
      <c r="AB24">
        <f>IF(AND(A24&lt;&gt;"",K24&lt;&gt;"非表示",IF(タスク一覧!$B$4="すべて",TRUE,B24=タスク一覧!$B$4),IF(タスク一覧!$E$4="すべて",TRUE,C24=タスク一覧!$E$4),IF(タスク一覧!$H$4="すべて",TRUE,IF(タスク一覧!$H$4="完了以外",F24&lt;&gt;"完了",F24=タスク一覧!$H$4))),AA24*1000000+COUNTIF($C$5:$C$300,"&lt;"&amp;C24)*1000+ROW(),1000000000000)</f>
        <v>2041024</v>
      </c>
    </row>
    <row r="25" spans="1:28">
      <c r="A25" s="6" t="s">
        <v>101</v>
      </c>
      <c r="B25" s="6" t="s">
        <v>16</v>
      </c>
      <c r="C25" s="6" t="s">
        <v>92</v>
      </c>
      <c r="D25" s="6" t="s">
        <v>102</v>
      </c>
      <c r="E25" s="6" t="s">
        <v>103</v>
      </c>
      <c r="F25" s="6" t="s">
        <v>58</v>
      </c>
      <c r="G25" s="7">
        <v>4</v>
      </c>
      <c r="H25" s="8"/>
      <c r="I25" s="9" t="s">
        <v>104</v>
      </c>
      <c r="J25" s="9"/>
      <c r="K25" t="s">
        <v>230</v>
      </c>
      <c r="AA25">
        <f t="shared" si="0"/>
        <v>2</v>
      </c>
      <c r="AB25">
        <f>IF(AND(A25&lt;&gt;"",K25&lt;&gt;"非表示",IF(タスク一覧!$B$4="すべて",TRUE,B25=タスク一覧!$B$4),IF(タスク一覧!$E$4="すべて",TRUE,C25=タスク一覧!$E$4),IF(タスク一覧!$H$4="すべて",TRUE,IF(タスク一覧!$H$4="完了以外",F25&lt;&gt;"完了",F25=タスク一覧!$H$4))),AA25*1000000+COUNTIF($C$5:$C$300,"&lt;"&amp;C25)*1000+ROW(),1000000000000)</f>
        <v>2041025</v>
      </c>
    </row>
    <row r="26" spans="1:28">
      <c r="A26" s="6" t="s">
        <v>105</v>
      </c>
      <c r="B26" s="6" t="s">
        <v>15</v>
      </c>
      <c r="C26" s="6" t="s">
        <v>92</v>
      </c>
      <c r="D26" s="6" t="s">
        <v>106</v>
      </c>
      <c r="E26" s="6" t="s">
        <v>32</v>
      </c>
      <c r="F26" s="6" t="s">
        <v>58</v>
      </c>
      <c r="G26" s="7">
        <v>7</v>
      </c>
      <c r="H26" s="8"/>
      <c r="I26" s="9" t="s">
        <v>107</v>
      </c>
      <c r="J26" s="9"/>
      <c r="K26" t="s">
        <v>230</v>
      </c>
      <c r="AA26">
        <f t="shared" si="0"/>
        <v>1</v>
      </c>
      <c r="AB26">
        <f>IF(AND(A26&lt;&gt;"",K26&lt;&gt;"非表示",IF(タスク一覧!$B$4="すべて",TRUE,B26=タスク一覧!$B$4),IF(タスク一覧!$E$4="すべて",TRUE,C26=タスク一覧!$E$4),IF(タスク一覧!$H$4="すべて",TRUE,IF(タスク一覧!$H$4="完了以外",F26&lt;&gt;"完了",F26=タスク一覧!$H$4))),AA26*1000000+COUNTIF($C$5:$C$300,"&lt;"&amp;C26)*1000+ROW(),1000000000000)</f>
        <v>1041026</v>
      </c>
    </row>
    <row r="27" spans="1:28">
      <c r="A27" s="6" t="s">
        <v>108</v>
      </c>
      <c r="B27" s="6" t="s">
        <v>16</v>
      </c>
      <c r="C27" s="6" t="s">
        <v>92</v>
      </c>
      <c r="D27" s="6" t="s">
        <v>109</v>
      </c>
      <c r="E27" s="6" t="s">
        <v>103</v>
      </c>
      <c r="F27" s="6" t="s">
        <v>58</v>
      </c>
      <c r="G27" s="7">
        <v>5</v>
      </c>
      <c r="H27" s="8"/>
      <c r="I27" s="9" t="s">
        <v>107</v>
      </c>
      <c r="J27" s="9"/>
      <c r="K27" t="s">
        <v>230</v>
      </c>
      <c r="AA27">
        <f t="shared" si="0"/>
        <v>2</v>
      </c>
      <c r="AB27">
        <f>IF(AND(A27&lt;&gt;"",K27&lt;&gt;"非表示",IF(タスク一覧!$B$4="すべて",TRUE,B27=タスク一覧!$B$4),IF(タスク一覧!$E$4="すべて",TRUE,C27=タスク一覧!$E$4),IF(タスク一覧!$H$4="すべて",TRUE,IF(タスク一覧!$H$4="完了以外",F27&lt;&gt;"完了",F27=タスク一覧!$H$4))),AA27*1000000+COUNTIF($C$5:$C$300,"&lt;"&amp;C27)*1000+ROW(),1000000000000)</f>
        <v>2041027</v>
      </c>
    </row>
    <row r="28" spans="1:28">
      <c r="A28" s="6" t="s">
        <v>110</v>
      </c>
      <c r="B28" s="6" t="s">
        <v>16</v>
      </c>
      <c r="C28" s="6" t="s">
        <v>92</v>
      </c>
      <c r="D28" s="6" t="s">
        <v>111</v>
      </c>
      <c r="E28" s="6" t="s">
        <v>103</v>
      </c>
      <c r="F28" s="6" t="s">
        <v>58</v>
      </c>
      <c r="G28" s="7">
        <v>5</v>
      </c>
      <c r="H28" s="8"/>
      <c r="I28" s="9" t="s">
        <v>107</v>
      </c>
      <c r="J28" s="9"/>
      <c r="K28" t="s">
        <v>230</v>
      </c>
      <c r="AA28">
        <f t="shared" si="0"/>
        <v>2</v>
      </c>
      <c r="AB28">
        <f>IF(AND(A28&lt;&gt;"",K28&lt;&gt;"非表示",IF(タスク一覧!$B$4="すべて",TRUE,B28=タスク一覧!$B$4),IF(タスク一覧!$E$4="すべて",TRUE,C28=タスク一覧!$E$4),IF(タスク一覧!$H$4="すべて",TRUE,IF(タスク一覧!$H$4="完了以外",F28&lt;&gt;"完了",F28=タスク一覧!$H$4))),AA28*1000000+COUNTIF($C$5:$C$300,"&lt;"&amp;C28)*1000+ROW(),1000000000000)</f>
        <v>2041028</v>
      </c>
    </row>
    <row r="29" spans="1:28">
      <c r="A29" s="6" t="s">
        <v>112</v>
      </c>
      <c r="B29" s="6" t="s">
        <v>15</v>
      </c>
      <c r="C29" s="6" t="s">
        <v>113</v>
      </c>
      <c r="D29" s="6" t="s">
        <v>114</v>
      </c>
      <c r="E29" s="6" t="s">
        <v>32</v>
      </c>
      <c r="F29" s="6" t="s">
        <v>33</v>
      </c>
      <c r="G29" s="7">
        <v>10</v>
      </c>
      <c r="H29" s="8"/>
      <c r="I29" s="9" t="s">
        <v>115</v>
      </c>
      <c r="J29" s="9"/>
      <c r="K29" t="s">
        <v>230</v>
      </c>
      <c r="AA29">
        <f t="shared" si="0"/>
        <v>1</v>
      </c>
      <c r="AB29">
        <f>IF(AND(A29&lt;&gt;"",K29&lt;&gt;"非表示",IF(タスク一覧!$B$4="すべて",TRUE,B29=タスク一覧!$B$4),IF(タスク一覧!$E$4="すべて",TRUE,C29=タスク一覧!$E$4),IF(タスク一覧!$H$4="すべて",TRUE,IF(タスク一覧!$H$4="完了以外",F29&lt;&gt;"完了",F29=タスク一覧!$H$4))),AA29*1000000+COUNTIF($C$5:$C$300,"&lt;"&amp;C29)*1000+ROW(),1000000000000)</f>
        <v>1013029</v>
      </c>
    </row>
    <row r="30" spans="1:28">
      <c r="A30" s="6" t="s">
        <v>116</v>
      </c>
      <c r="B30" s="6" t="s">
        <v>16</v>
      </c>
      <c r="C30" s="6" t="s">
        <v>113</v>
      </c>
      <c r="D30" s="6" t="s">
        <v>117</v>
      </c>
      <c r="E30" s="6" t="s">
        <v>103</v>
      </c>
      <c r="F30" s="6" t="s">
        <v>58</v>
      </c>
      <c r="G30" s="7">
        <v>10</v>
      </c>
      <c r="H30" s="8"/>
      <c r="I30" s="9" t="s">
        <v>107</v>
      </c>
      <c r="J30" s="9"/>
      <c r="K30" t="s">
        <v>230</v>
      </c>
      <c r="AA30">
        <f t="shared" si="0"/>
        <v>2</v>
      </c>
      <c r="AB30">
        <f>IF(AND(A30&lt;&gt;"",K30&lt;&gt;"非表示",IF(タスク一覧!$B$4="すべて",TRUE,B30=タスク一覧!$B$4),IF(タスク一覧!$E$4="すべて",TRUE,C30=タスク一覧!$E$4),IF(タスク一覧!$H$4="すべて",TRUE,IF(タスク一覧!$H$4="完了以外",F30&lt;&gt;"完了",F30=タスク一覧!$H$4))),AA30*1000000+COUNTIF($C$5:$C$300,"&lt;"&amp;C30)*1000+ROW(),1000000000000)</f>
        <v>2013030</v>
      </c>
    </row>
    <row r="31" spans="1:28">
      <c r="A31" s="6" t="s">
        <v>118</v>
      </c>
      <c r="B31" s="6" t="s">
        <v>16</v>
      </c>
      <c r="C31" s="6" t="s">
        <v>113</v>
      </c>
      <c r="D31" s="6" t="s">
        <v>119</v>
      </c>
      <c r="E31" s="6" t="s">
        <v>103</v>
      </c>
      <c r="F31" s="6" t="s">
        <v>58</v>
      </c>
      <c r="G31" s="7">
        <v>10</v>
      </c>
      <c r="H31" s="8"/>
      <c r="I31" s="9" t="s">
        <v>107</v>
      </c>
      <c r="J31" s="9"/>
      <c r="K31" t="s">
        <v>230</v>
      </c>
      <c r="AA31">
        <f t="shared" si="0"/>
        <v>2</v>
      </c>
      <c r="AB31">
        <f>IF(AND(A31&lt;&gt;"",K31&lt;&gt;"非表示",IF(タスク一覧!$B$4="すべて",TRUE,B31=タスク一覧!$B$4),IF(タスク一覧!$E$4="すべて",TRUE,C31=タスク一覧!$E$4),IF(タスク一覧!$H$4="すべて",TRUE,IF(タスク一覧!$H$4="完了以外",F31&lt;&gt;"完了",F31=タスク一覧!$H$4))),AA31*1000000+COUNTIF($C$5:$C$300,"&lt;"&amp;C31)*1000+ROW(),1000000000000)</f>
        <v>2013031</v>
      </c>
    </row>
    <row r="32" spans="1:28">
      <c r="A32" s="6" t="s">
        <v>120</v>
      </c>
      <c r="B32" s="6" t="s">
        <v>15</v>
      </c>
      <c r="C32" s="6" t="s">
        <v>121</v>
      </c>
      <c r="D32" s="6" t="s">
        <v>122</v>
      </c>
      <c r="E32" s="6" t="s">
        <v>32</v>
      </c>
      <c r="F32" s="6" t="s">
        <v>83</v>
      </c>
      <c r="G32" s="7">
        <v>5</v>
      </c>
      <c r="H32" s="8">
        <v>15</v>
      </c>
      <c r="I32" s="9" t="s">
        <v>123</v>
      </c>
      <c r="J32" s="9"/>
      <c r="K32" t="s">
        <v>230</v>
      </c>
      <c r="AA32">
        <f t="shared" si="0"/>
        <v>1</v>
      </c>
      <c r="AB32">
        <f>IF(AND(A32&lt;&gt;"",K32&lt;&gt;"非表示",IF(タスク一覧!$B$4="すべて",TRUE,B32=タスク一覧!$B$4),IF(タスク一覧!$E$4="すべて",TRUE,C32=タスク一覧!$E$4),IF(タスク一覧!$H$4="すべて",TRUE,IF(タスク一覧!$H$4="完了以外",F32&lt;&gt;"完了",F32=タスク一覧!$H$4))),AA32*1000000+COUNTIF($C$5:$C$300,"&lt;"&amp;C32)*1000+ROW(),1000000000000)</f>
        <v>1011032</v>
      </c>
    </row>
    <row r="33" spans="1:28">
      <c r="A33" s="6" t="s">
        <v>124</v>
      </c>
      <c r="B33" s="6" t="s">
        <v>15</v>
      </c>
      <c r="C33" s="6" t="s">
        <v>121</v>
      </c>
      <c r="D33" s="6" t="s">
        <v>125</v>
      </c>
      <c r="E33" s="6" t="s">
        <v>32</v>
      </c>
      <c r="F33" s="6" t="s">
        <v>33</v>
      </c>
      <c r="G33" s="7">
        <v>15</v>
      </c>
      <c r="H33" s="8">
        <v>10</v>
      </c>
      <c r="I33" s="9" t="s">
        <v>126</v>
      </c>
      <c r="J33" s="9"/>
      <c r="K33" t="s">
        <v>230</v>
      </c>
      <c r="AA33">
        <f t="shared" si="0"/>
        <v>1</v>
      </c>
      <c r="AB33">
        <f>IF(AND(A33&lt;&gt;"",K33&lt;&gt;"非表示",IF(タスク一覧!$B$4="すべて",TRUE,B33=タスク一覧!$B$4),IF(タスク一覧!$E$4="すべて",TRUE,C33=タスク一覧!$E$4),IF(タスク一覧!$H$4="すべて",TRUE,IF(タスク一覧!$H$4="完了以外",F33&lt;&gt;"完了",F33=タスク一覧!$H$4))),AA33*1000000+COUNTIF($C$5:$C$300,"&lt;"&amp;C33)*1000+ROW(),1000000000000)</f>
        <v>1011033</v>
      </c>
    </row>
    <row r="34" spans="1:28">
      <c r="A34" s="6" t="s">
        <v>127</v>
      </c>
      <c r="B34" s="6" t="s">
        <v>15</v>
      </c>
      <c r="C34" s="6" t="s">
        <v>128</v>
      </c>
      <c r="D34" s="6" t="s">
        <v>129</v>
      </c>
      <c r="E34" s="6" t="s">
        <v>32</v>
      </c>
      <c r="F34" s="6" t="s">
        <v>65</v>
      </c>
      <c r="G34" s="7">
        <v>5</v>
      </c>
      <c r="H34" s="8"/>
      <c r="I34" s="9" t="s">
        <v>130</v>
      </c>
      <c r="J34" s="9"/>
      <c r="K34" t="s">
        <v>230</v>
      </c>
      <c r="AA34">
        <f t="shared" si="0"/>
        <v>1</v>
      </c>
      <c r="AB34">
        <f>IF(AND(A34&lt;&gt;"",K34&lt;&gt;"非表示",IF(タスク一覧!$B$4="すべて",TRUE,B34=タスク一覧!$B$4),IF(タスク一覧!$E$4="すべて",TRUE,C34=タスク一覧!$E$4),IF(タスク一覧!$H$4="すべて",TRUE,IF(タスク一覧!$H$4="完了以外",F34&lt;&gt;"完了",F34=タスク一覧!$H$4))),AA34*1000000+COUNTIF($C$5:$C$300,"&lt;"&amp;C34)*1000+ROW(),1000000000000)</f>
        <v>1037034</v>
      </c>
    </row>
    <row r="35" spans="1:28">
      <c r="A35" s="6" t="s">
        <v>131</v>
      </c>
      <c r="B35" s="6" t="s">
        <v>15</v>
      </c>
      <c r="C35" s="6" t="s">
        <v>128</v>
      </c>
      <c r="D35" s="6" t="s">
        <v>132</v>
      </c>
      <c r="E35" s="6" t="s">
        <v>32</v>
      </c>
      <c r="F35" s="6" t="s">
        <v>65</v>
      </c>
      <c r="G35" s="7">
        <v>5</v>
      </c>
      <c r="H35" s="8"/>
      <c r="I35" s="9" t="s">
        <v>133</v>
      </c>
      <c r="J35" s="9"/>
      <c r="K35" t="s">
        <v>230</v>
      </c>
      <c r="AA35">
        <f t="shared" si="0"/>
        <v>1</v>
      </c>
      <c r="AB35">
        <f>IF(AND(A35&lt;&gt;"",K35&lt;&gt;"非表示",IF(タスク一覧!$B$4="すべて",TRUE,B35=タスク一覧!$B$4),IF(タスク一覧!$E$4="すべて",TRUE,C35=タスク一覧!$E$4),IF(タスク一覧!$H$4="すべて",TRUE,IF(タスク一覧!$H$4="完了以外",F35&lt;&gt;"完了",F35=タスク一覧!$H$4))),AA35*1000000+COUNTIF($C$5:$C$300,"&lt;"&amp;C35)*1000+ROW(),1000000000000)</f>
        <v>1037035</v>
      </c>
    </row>
    <row r="36" spans="1:28">
      <c r="A36" s="6" t="s">
        <v>134</v>
      </c>
      <c r="B36" s="6" t="s">
        <v>16</v>
      </c>
      <c r="C36" s="6" t="s">
        <v>128</v>
      </c>
      <c r="D36" s="6" t="s">
        <v>135</v>
      </c>
      <c r="E36" s="6" t="s">
        <v>32</v>
      </c>
      <c r="F36" s="6" t="s">
        <v>65</v>
      </c>
      <c r="G36" s="7">
        <v>5</v>
      </c>
      <c r="H36" s="8"/>
      <c r="I36" s="9" t="s">
        <v>136</v>
      </c>
      <c r="J36" s="9"/>
      <c r="K36" t="s">
        <v>230</v>
      </c>
      <c r="AA36">
        <f t="shared" si="0"/>
        <v>2</v>
      </c>
      <c r="AB36">
        <f>IF(AND(A36&lt;&gt;"",K36&lt;&gt;"非表示",IF(タスク一覧!$B$4="すべて",TRUE,B36=タスク一覧!$B$4),IF(タスク一覧!$E$4="すべて",TRUE,C36=タスク一覧!$E$4),IF(タスク一覧!$H$4="すべて",TRUE,IF(タスク一覧!$H$4="完了以外",F36&lt;&gt;"完了",F36=タスク一覧!$H$4))),AA36*1000000+COUNTIF($C$5:$C$300,"&lt;"&amp;C36)*1000+ROW(),1000000000000)</f>
        <v>2037036</v>
      </c>
    </row>
    <row r="37" spans="1:28">
      <c r="A37" s="6" t="s">
        <v>137</v>
      </c>
      <c r="B37" s="6" t="s">
        <v>17</v>
      </c>
      <c r="C37" s="6" t="s">
        <v>128</v>
      </c>
      <c r="D37" s="6" t="s">
        <v>138</v>
      </c>
      <c r="E37" s="6" t="s">
        <v>32</v>
      </c>
      <c r="F37" s="6" t="s">
        <v>58</v>
      </c>
      <c r="G37" s="7">
        <v>5</v>
      </c>
      <c r="H37" s="8"/>
      <c r="I37" s="9" t="s">
        <v>107</v>
      </c>
      <c r="J37" s="9"/>
      <c r="K37" t="s">
        <v>230</v>
      </c>
      <c r="AA37">
        <f t="shared" si="0"/>
        <v>3</v>
      </c>
      <c r="AB37">
        <f>IF(AND(A37&lt;&gt;"",K37&lt;&gt;"非表示",IF(タスク一覧!$B$4="すべて",TRUE,B37=タスク一覧!$B$4),IF(タスク一覧!$E$4="すべて",TRUE,C37=タスク一覧!$E$4),IF(タスク一覧!$H$4="すべて",TRUE,IF(タスク一覧!$H$4="完了以外",F37&lt;&gt;"完了",F37=タスク一覧!$H$4))),AA37*1000000+COUNTIF($C$5:$C$300,"&lt;"&amp;C37)*1000+ROW(),1000000000000)</f>
        <v>3037037</v>
      </c>
    </row>
    <row r="38" spans="1:28">
      <c r="A38" s="6" t="s">
        <v>139</v>
      </c>
      <c r="B38" s="6" t="s">
        <v>16</v>
      </c>
      <c r="C38" s="6" t="s">
        <v>140</v>
      </c>
      <c r="D38" s="6" t="s">
        <v>141</v>
      </c>
      <c r="E38" s="6" t="s">
        <v>32</v>
      </c>
      <c r="F38" s="6" t="s">
        <v>58</v>
      </c>
      <c r="G38" s="7">
        <v>2</v>
      </c>
      <c r="H38" s="8"/>
      <c r="I38" s="9" t="s">
        <v>107</v>
      </c>
      <c r="J38" s="9"/>
      <c r="K38" t="s">
        <v>230</v>
      </c>
      <c r="AA38">
        <f t="shared" si="0"/>
        <v>2</v>
      </c>
      <c r="AB38">
        <f>IF(AND(A38&lt;&gt;"",K38&lt;&gt;"非表示",IF(タスク一覧!$B$4="すべて",TRUE,B38=タスク一覧!$B$4),IF(タスク一覧!$E$4="すべて",TRUE,C38=タスク一覧!$E$4),IF(タスク一覧!$H$4="すべて",TRUE,IF(タスク一覧!$H$4="完了以外",F38&lt;&gt;"完了",F38=タスク一覧!$H$4))),AA38*1000000+COUNTIF($C$5:$C$300,"&lt;"&amp;C38)*1000+ROW(),1000000000000)</f>
        <v>2030038</v>
      </c>
    </row>
    <row r="39" spans="1:28">
      <c r="A39" s="6" t="s">
        <v>142</v>
      </c>
      <c r="B39" s="6" t="s">
        <v>16</v>
      </c>
      <c r="C39" s="6" t="s">
        <v>140</v>
      </c>
      <c r="D39" s="6" t="s">
        <v>143</v>
      </c>
      <c r="E39" s="6" t="s">
        <v>32</v>
      </c>
      <c r="F39" s="6" t="s">
        <v>58</v>
      </c>
      <c r="G39" s="7">
        <v>4</v>
      </c>
      <c r="H39" s="8"/>
      <c r="I39" s="9" t="s">
        <v>144</v>
      </c>
      <c r="J39" s="9"/>
      <c r="K39" t="s">
        <v>230</v>
      </c>
      <c r="AA39">
        <f t="shared" si="0"/>
        <v>2</v>
      </c>
      <c r="AB39">
        <f>IF(AND(A39&lt;&gt;"",K39&lt;&gt;"非表示",IF(タスク一覧!$B$4="すべて",TRUE,B39=タスク一覧!$B$4),IF(タスク一覧!$E$4="すべて",TRUE,C39=タスク一覧!$E$4),IF(タスク一覧!$H$4="すべて",TRUE,IF(タスク一覧!$H$4="完了以外",F39&lt;&gt;"完了",F39=タスク一覧!$H$4))),AA39*1000000+COUNTIF($C$5:$C$300,"&lt;"&amp;C39)*1000+ROW(),1000000000000)</f>
        <v>2030039</v>
      </c>
    </row>
    <row r="40" spans="1:28">
      <c r="A40" s="6" t="s">
        <v>145</v>
      </c>
      <c r="B40" s="6" t="s">
        <v>16</v>
      </c>
      <c r="C40" s="6" t="s">
        <v>140</v>
      </c>
      <c r="D40" s="6" t="s">
        <v>146</v>
      </c>
      <c r="E40" s="6" t="s">
        <v>32</v>
      </c>
      <c r="F40" s="6" t="s">
        <v>58</v>
      </c>
      <c r="G40" s="7">
        <v>2</v>
      </c>
      <c r="H40" s="8"/>
      <c r="I40" s="9" t="s">
        <v>107</v>
      </c>
      <c r="J40" s="9"/>
      <c r="K40" t="s">
        <v>230</v>
      </c>
      <c r="AA40">
        <f t="shared" si="0"/>
        <v>2</v>
      </c>
      <c r="AB40">
        <f>IF(AND(A40&lt;&gt;"",K40&lt;&gt;"非表示",IF(タスク一覧!$B$4="すべて",TRUE,B40=タスク一覧!$B$4),IF(タスク一覧!$E$4="すべて",TRUE,C40=タスク一覧!$E$4),IF(タスク一覧!$H$4="すべて",TRUE,IF(タスク一覧!$H$4="完了以外",F40&lt;&gt;"完了",F40=タスク一覧!$H$4))),AA40*1000000+COUNTIF($C$5:$C$300,"&lt;"&amp;C40)*1000+ROW(),1000000000000)</f>
        <v>2030040</v>
      </c>
    </row>
    <row r="41" spans="1:28">
      <c r="A41" s="6" t="s">
        <v>147</v>
      </c>
      <c r="B41" s="6" t="s">
        <v>17</v>
      </c>
      <c r="C41" s="6" t="s">
        <v>140</v>
      </c>
      <c r="D41" s="6" t="s">
        <v>148</v>
      </c>
      <c r="E41" s="6" t="s">
        <v>32</v>
      </c>
      <c r="F41" s="6" t="s">
        <v>58</v>
      </c>
      <c r="G41" s="7">
        <v>4</v>
      </c>
      <c r="H41" s="8"/>
      <c r="I41" s="9" t="s">
        <v>107</v>
      </c>
      <c r="J41" s="9"/>
      <c r="K41" t="s">
        <v>230</v>
      </c>
      <c r="AA41">
        <f t="shared" si="0"/>
        <v>3</v>
      </c>
      <c r="AB41">
        <f>IF(AND(A41&lt;&gt;"",K41&lt;&gt;"非表示",IF(タスク一覧!$B$4="すべて",TRUE,B41=タスク一覧!$B$4),IF(タスク一覧!$E$4="すべて",TRUE,C41=タスク一覧!$E$4),IF(タスク一覧!$H$4="すべて",TRUE,IF(タスク一覧!$H$4="完了以外",F41&lt;&gt;"完了",F41=タスク一覧!$H$4))),AA41*1000000+COUNTIF($C$5:$C$300,"&lt;"&amp;C41)*1000+ROW(),1000000000000)</f>
        <v>3030041</v>
      </c>
    </row>
    <row r="42" spans="1:28">
      <c r="A42" s="6" t="s">
        <v>149</v>
      </c>
      <c r="B42" s="6" t="s">
        <v>15</v>
      </c>
      <c r="C42" s="6" t="s">
        <v>150</v>
      </c>
      <c r="D42" s="6" t="s">
        <v>151</v>
      </c>
      <c r="E42" s="6" t="s">
        <v>32</v>
      </c>
      <c r="F42" s="6" t="s">
        <v>37</v>
      </c>
      <c r="G42" s="7">
        <v>3</v>
      </c>
      <c r="H42" s="8">
        <v>2</v>
      </c>
      <c r="I42" s="9" t="s">
        <v>152</v>
      </c>
      <c r="J42" s="9"/>
      <c r="K42" t="s">
        <v>230</v>
      </c>
      <c r="AA42">
        <f t="shared" si="0"/>
        <v>1</v>
      </c>
      <c r="AB42">
        <f>IF(AND(A42&lt;&gt;"",K42&lt;&gt;"非表示",IF(タスク一覧!$B$4="すべて",TRUE,B42=タスク一覧!$B$4),IF(タスク一覧!$E$4="すべて",TRUE,C42=タスク一覧!$E$4),IF(タスク一覧!$H$4="すべて",TRUE,IF(タスク一覧!$H$4="完了以外",F42&lt;&gt;"完了",F42=タスク一覧!$H$4))),AA42*1000000+COUNTIF($C$5:$C$300,"&lt;"&amp;C42)*1000+ROW(),1000000000000)</f>
        <v>1003042</v>
      </c>
    </row>
    <row r="43" spans="1:28">
      <c r="A43" s="6" t="s">
        <v>153</v>
      </c>
      <c r="B43" s="6" t="s">
        <v>15</v>
      </c>
      <c r="C43" s="6" t="s">
        <v>150</v>
      </c>
      <c r="D43" s="6" t="s">
        <v>154</v>
      </c>
      <c r="E43" s="6" t="s">
        <v>32</v>
      </c>
      <c r="F43" s="6" t="s">
        <v>33</v>
      </c>
      <c r="G43" s="7">
        <v>5</v>
      </c>
      <c r="H43" s="8"/>
      <c r="I43" s="9" t="s">
        <v>155</v>
      </c>
      <c r="J43" s="9"/>
      <c r="K43" t="s">
        <v>230</v>
      </c>
      <c r="AA43">
        <f t="shared" si="0"/>
        <v>1</v>
      </c>
      <c r="AB43">
        <f>IF(AND(A43&lt;&gt;"",K43&lt;&gt;"非表示",IF(タスク一覧!$B$4="すべて",TRUE,B43=タスク一覧!$B$4),IF(タスク一覧!$E$4="すべて",TRUE,C43=タスク一覧!$E$4),IF(タスク一覧!$H$4="すべて",TRUE,IF(タスク一覧!$H$4="完了以外",F43&lt;&gt;"完了",F43=タスク一覧!$H$4))),AA43*1000000+COUNTIF($C$5:$C$300,"&lt;"&amp;C43)*1000+ROW(),1000000000000)</f>
        <v>1003043</v>
      </c>
    </row>
    <row r="44" spans="1:28">
      <c r="A44" s="6" t="s">
        <v>156</v>
      </c>
      <c r="B44" s="6" t="s">
        <v>16</v>
      </c>
      <c r="C44" s="6" t="s">
        <v>150</v>
      </c>
      <c r="D44" s="6" t="s">
        <v>157</v>
      </c>
      <c r="E44" s="6" t="s">
        <v>32</v>
      </c>
      <c r="F44" s="6" t="s">
        <v>58</v>
      </c>
      <c r="G44" s="7">
        <v>3</v>
      </c>
      <c r="H44" s="8"/>
      <c r="I44" s="9" t="s">
        <v>107</v>
      </c>
      <c r="J44" s="9"/>
      <c r="K44" t="s">
        <v>230</v>
      </c>
      <c r="AA44">
        <f t="shared" si="0"/>
        <v>2</v>
      </c>
      <c r="AB44">
        <f>IF(AND(A44&lt;&gt;"",K44&lt;&gt;"非表示",IF(タスク一覧!$B$4="すべて",TRUE,B44=タスク一覧!$B$4),IF(タスク一覧!$E$4="すべて",TRUE,C44=タスク一覧!$E$4),IF(タスク一覧!$H$4="すべて",TRUE,IF(タスク一覧!$H$4="完了以外",F44&lt;&gt;"完了",F44=タスク一覧!$H$4))),AA44*1000000+COUNTIF($C$5:$C$300,"&lt;"&amp;C44)*1000+ROW(),1000000000000)</f>
        <v>2003044</v>
      </c>
    </row>
    <row r="45" spans="1:28">
      <c r="A45" s="6" t="s">
        <v>158</v>
      </c>
      <c r="B45" s="6" t="s">
        <v>16</v>
      </c>
      <c r="C45" s="6" t="s">
        <v>150</v>
      </c>
      <c r="D45" s="6" t="s">
        <v>159</v>
      </c>
      <c r="E45" s="6" t="s">
        <v>32</v>
      </c>
      <c r="F45" s="6" t="s">
        <v>58</v>
      </c>
      <c r="G45" s="7">
        <v>3</v>
      </c>
      <c r="H45" s="8"/>
      <c r="I45" s="9" t="s">
        <v>107</v>
      </c>
      <c r="J45" s="9"/>
      <c r="K45" t="s">
        <v>230</v>
      </c>
      <c r="AA45">
        <f t="shared" si="0"/>
        <v>2</v>
      </c>
      <c r="AB45">
        <f>IF(AND(A45&lt;&gt;"",K45&lt;&gt;"非表示",IF(タスク一覧!$B$4="すべて",TRUE,B45=タスク一覧!$B$4),IF(タスク一覧!$E$4="すべて",TRUE,C45=タスク一覧!$E$4),IF(タスク一覧!$H$4="すべて",TRUE,IF(タスク一覧!$H$4="完了以外",F45&lt;&gt;"完了",F45=タスク一覧!$H$4))),AA45*1000000+COUNTIF($C$5:$C$300,"&lt;"&amp;C45)*1000+ROW(),1000000000000)</f>
        <v>2003045</v>
      </c>
    </row>
    <row r="46" spans="1:28">
      <c r="A46" s="6" t="s">
        <v>160</v>
      </c>
      <c r="B46" s="6" t="s">
        <v>16</v>
      </c>
      <c r="C46" s="6" t="s">
        <v>150</v>
      </c>
      <c r="D46" s="6" t="s">
        <v>161</v>
      </c>
      <c r="E46" s="6" t="s">
        <v>32</v>
      </c>
      <c r="F46" s="6" t="s">
        <v>58</v>
      </c>
      <c r="G46" s="7">
        <v>3</v>
      </c>
      <c r="H46" s="8"/>
      <c r="I46" s="9" t="s">
        <v>107</v>
      </c>
      <c r="J46" s="9"/>
      <c r="K46" t="s">
        <v>230</v>
      </c>
      <c r="AA46">
        <f t="shared" si="0"/>
        <v>2</v>
      </c>
      <c r="AB46">
        <f>IF(AND(A46&lt;&gt;"",K46&lt;&gt;"非表示",IF(タスク一覧!$B$4="すべて",TRUE,B46=タスク一覧!$B$4),IF(タスク一覧!$E$4="すべて",TRUE,C46=タスク一覧!$E$4),IF(タスク一覧!$H$4="すべて",TRUE,IF(タスク一覧!$H$4="完了以外",F46&lt;&gt;"完了",F46=タスク一覧!$H$4))),AA46*1000000+COUNTIF($C$5:$C$300,"&lt;"&amp;C46)*1000+ROW(),1000000000000)</f>
        <v>2003046</v>
      </c>
    </row>
    <row r="47" spans="1:28">
      <c r="A47" s="6" t="s">
        <v>162</v>
      </c>
      <c r="B47" s="6" t="s">
        <v>16</v>
      </c>
      <c r="C47" s="6" t="s">
        <v>150</v>
      </c>
      <c r="D47" s="6" t="s">
        <v>163</v>
      </c>
      <c r="E47" s="6" t="s">
        <v>32</v>
      </c>
      <c r="F47" s="6" t="s">
        <v>58</v>
      </c>
      <c r="G47" s="7">
        <v>3</v>
      </c>
      <c r="H47" s="8"/>
      <c r="I47" s="9" t="s">
        <v>107</v>
      </c>
      <c r="J47" s="9"/>
      <c r="K47" t="s">
        <v>230</v>
      </c>
      <c r="AA47">
        <f t="shared" si="0"/>
        <v>2</v>
      </c>
      <c r="AB47">
        <f>IF(AND(A47&lt;&gt;"",K47&lt;&gt;"非表示",IF(タスク一覧!$B$4="すべて",TRUE,B47=タスク一覧!$B$4),IF(タスク一覧!$E$4="すべて",TRUE,C47=タスク一覧!$E$4),IF(タスク一覧!$H$4="すべて",TRUE,IF(タスク一覧!$H$4="完了以外",F47&lt;&gt;"完了",F47=タスク一覧!$H$4))),AA47*1000000+COUNTIF($C$5:$C$300,"&lt;"&amp;C47)*1000+ROW(),1000000000000)</f>
        <v>2003047</v>
      </c>
    </row>
    <row r="48" spans="1:28">
      <c r="A48" s="6" t="s">
        <v>164</v>
      </c>
      <c r="B48" s="6" t="s">
        <v>16</v>
      </c>
      <c r="C48" s="6" t="s">
        <v>150</v>
      </c>
      <c r="D48" s="6" t="s">
        <v>165</v>
      </c>
      <c r="E48" s="6" t="s">
        <v>32</v>
      </c>
      <c r="F48" s="6" t="s">
        <v>58</v>
      </c>
      <c r="G48" s="7">
        <v>3</v>
      </c>
      <c r="H48" s="8"/>
      <c r="I48" s="9" t="s">
        <v>107</v>
      </c>
      <c r="J48" s="9"/>
      <c r="K48" t="s">
        <v>230</v>
      </c>
      <c r="AA48">
        <f t="shared" si="0"/>
        <v>2</v>
      </c>
      <c r="AB48">
        <f>IF(AND(A48&lt;&gt;"",K48&lt;&gt;"非表示",IF(タスク一覧!$B$4="すべて",TRUE,B48=タスク一覧!$B$4),IF(タスク一覧!$E$4="すべて",TRUE,C48=タスク一覧!$E$4),IF(タスク一覧!$H$4="すべて",TRUE,IF(タスク一覧!$H$4="完了以外",F48&lt;&gt;"完了",F48=タスク一覧!$H$4))),AA48*1000000+COUNTIF($C$5:$C$300,"&lt;"&amp;C48)*1000+ROW(),1000000000000)</f>
        <v>2003048</v>
      </c>
    </row>
    <row r="49" spans="1:28">
      <c r="A49" s="6" t="s">
        <v>166</v>
      </c>
      <c r="B49" s="6" t="s">
        <v>16</v>
      </c>
      <c r="C49" s="6" t="s">
        <v>150</v>
      </c>
      <c r="D49" s="6" t="s">
        <v>167</v>
      </c>
      <c r="E49" s="6" t="s">
        <v>103</v>
      </c>
      <c r="F49" s="6" t="s">
        <v>58</v>
      </c>
      <c r="G49" s="7">
        <v>5</v>
      </c>
      <c r="H49" s="8"/>
      <c r="I49" s="9" t="s">
        <v>107</v>
      </c>
      <c r="J49" s="9"/>
      <c r="K49" t="s">
        <v>230</v>
      </c>
      <c r="AA49">
        <f t="shared" si="0"/>
        <v>2</v>
      </c>
      <c r="AB49">
        <f>IF(AND(A49&lt;&gt;"",K49&lt;&gt;"非表示",IF(タスク一覧!$B$4="すべて",TRUE,B49=タスク一覧!$B$4),IF(タスク一覧!$E$4="すべて",TRUE,C49=タスク一覧!$E$4),IF(タスク一覧!$H$4="すべて",TRUE,IF(タスク一覧!$H$4="完了以外",F49&lt;&gt;"完了",F49=タスク一覧!$H$4))),AA49*1000000+COUNTIF($C$5:$C$300,"&lt;"&amp;C49)*1000+ROW(),1000000000000)</f>
        <v>2003049</v>
      </c>
    </row>
    <row r="50" spans="1:28">
      <c r="A50" s="6" t="s">
        <v>168</v>
      </c>
      <c r="B50" s="6" t="s">
        <v>15</v>
      </c>
      <c r="C50" s="6" t="s">
        <v>30</v>
      </c>
      <c r="D50" s="6" t="s">
        <v>169</v>
      </c>
      <c r="E50" s="6" t="s">
        <v>32</v>
      </c>
      <c r="F50" s="6" t="s">
        <v>170</v>
      </c>
      <c r="G50" s="7">
        <v>6</v>
      </c>
      <c r="H50" s="8"/>
      <c r="I50" s="9" t="s">
        <v>171</v>
      </c>
      <c r="J50" s="9" t="s">
        <v>172</v>
      </c>
      <c r="K50" t="s">
        <v>230</v>
      </c>
      <c r="AA50">
        <f t="shared" si="0"/>
        <v>1</v>
      </c>
      <c r="AB50">
        <f>IF(AND(A50&lt;&gt;"",K50&lt;&gt;"非表示",IF(タスク一覧!$B$4="すべて",TRUE,B50=タスク一覧!$B$4),IF(タスク一覧!$E$4="すべて",TRUE,C50=タスク一覧!$E$4),IF(タスク一覧!$H$4="すべて",TRUE,IF(タスク一覧!$H$4="完了以外",F50&lt;&gt;"完了",F50=タスク一覧!$H$4))),AA50*1000000+COUNTIF($C$5:$C$300,"&lt;"&amp;C50)*1000+ROW(),1000000000000)</f>
        <v>1050050</v>
      </c>
    </row>
    <row r="51" spans="1:28">
      <c r="A51" s="6" t="s">
        <v>173</v>
      </c>
      <c r="B51" s="6" t="s">
        <v>15</v>
      </c>
      <c r="C51" s="6" t="s">
        <v>30</v>
      </c>
      <c r="D51" s="6" t="s">
        <v>174</v>
      </c>
      <c r="E51" s="6" t="s">
        <v>32</v>
      </c>
      <c r="F51" s="6" t="s">
        <v>170</v>
      </c>
      <c r="G51" s="7">
        <v>8</v>
      </c>
      <c r="H51" s="8"/>
      <c r="I51" s="9" t="s">
        <v>175</v>
      </c>
      <c r="J51" s="9" t="s">
        <v>176</v>
      </c>
      <c r="K51" t="s">
        <v>230</v>
      </c>
      <c r="AA51">
        <f t="shared" si="0"/>
        <v>1</v>
      </c>
      <c r="AB51">
        <f>IF(AND(A51&lt;&gt;"",K51&lt;&gt;"非表示",IF(タスク一覧!$B$4="すべて",TRUE,B51=タスク一覧!$B$4),IF(タスク一覧!$E$4="すべて",TRUE,C51=タスク一覧!$E$4),IF(タスク一覧!$H$4="すべて",TRUE,IF(タスク一覧!$H$4="完了以外",F51&lt;&gt;"完了",F51=タスク一覧!$H$4))),AA51*1000000+COUNTIF($C$5:$C$300,"&lt;"&amp;C51)*1000+ROW(),1000000000000)</f>
        <v>1050051</v>
      </c>
    </row>
    <row r="52" spans="1:28">
      <c r="A52" s="6" t="s">
        <v>177</v>
      </c>
      <c r="B52" s="6" t="s">
        <v>15</v>
      </c>
      <c r="C52" s="6" t="s">
        <v>64</v>
      </c>
      <c r="D52" s="6" t="s">
        <v>178</v>
      </c>
      <c r="E52" s="6" t="s">
        <v>32</v>
      </c>
      <c r="F52" s="6" t="s">
        <v>170</v>
      </c>
      <c r="G52" s="7">
        <v>8</v>
      </c>
      <c r="H52" s="8"/>
      <c r="I52" s="9" t="s">
        <v>179</v>
      </c>
      <c r="J52" s="9"/>
      <c r="K52" t="s">
        <v>230</v>
      </c>
      <c r="AA52">
        <f t="shared" si="0"/>
        <v>1</v>
      </c>
      <c r="AB52">
        <f>IF(AND(A52&lt;&gt;"",K52&lt;&gt;"非表示",IF(タスク一覧!$B$4="すべて",TRUE,B52=タスク一覧!$B$4),IF(タスク一覧!$E$4="すべて",TRUE,C52=タスク一覧!$E$4),IF(タスク一覧!$H$4="すべて",TRUE,IF(タスク一覧!$H$4="完了以外",F52&lt;&gt;"完了",F52=タスク一覧!$H$4))),AA52*1000000+COUNTIF($C$5:$C$300,"&lt;"&amp;C52)*1000+ROW(),1000000000000)</f>
        <v>1036052</v>
      </c>
    </row>
    <row r="53" spans="1:28">
      <c r="A53" s="6" t="s">
        <v>180</v>
      </c>
      <c r="B53" s="6" t="s">
        <v>16</v>
      </c>
      <c r="C53" s="6" t="s">
        <v>92</v>
      </c>
      <c r="D53" s="6" t="s">
        <v>181</v>
      </c>
      <c r="E53" s="6" t="s">
        <v>32</v>
      </c>
      <c r="F53" s="6" t="s">
        <v>170</v>
      </c>
      <c r="G53" s="7">
        <v>10</v>
      </c>
      <c r="H53" s="8"/>
      <c r="I53" s="9" t="s">
        <v>182</v>
      </c>
      <c r="J53" s="9"/>
      <c r="K53" t="s">
        <v>230</v>
      </c>
      <c r="AA53">
        <f t="shared" si="0"/>
        <v>2</v>
      </c>
      <c r="AB53">
        <f>IF(AND(A53&lt;&gt;"",K53&lt;&gt;"非表示",IF(タスク一覧!$B$4="すべて",TRUE,B53=タスク一覧!$B$4),IF(タスク一覧!$E$4="すべて",TRUE,C53=タスク一覧!$E$4),IF(タスク一覧!$H$4="すべて",TRUE,IF(タスク一覧!$H$4="完了以外",F53&lt;&gt;"完了",F53=タスク一覧!$H$4))),AA53*1000000+COUNTIF($C$5:$C$300,"&lt;"&amp;C53)*1000+ROW(),1000000000000)</f>
        <v>2041053</v>
      </c>
    </row>
    <row r="54" spans="1:28">
      <c r="A54" s="6" t="s">
        <v>183</v>
      </c>
      <c r="B54" s="6" t="s">
        <v>16</v>
      </c>
      <c r="C54" s="6" t="s">
        <v>78</v>
      </c>
      <c r="D54" s="6" t="s">
        <v>184</v>
      </c>
      <c r="E54" s="6" t="s">
        <v>32</v>
      </c>
      <c r="F54" s="6" t="s">
        <v>170</v>
      </c>
      <c r="G54" s="7">
        <v>8</v>
      </c>
      <c r="H54" s="8"/>
      <c r="I54" s="9" t="s">
        <v>185</v>
      </c>
      <c r="J54" s="9"/>
      <c r="K54" t="s">
        <v>230</v>
      </c>
      <c r="AA54">
        <f t="shared" si="0"/>
        <v>2</v>
      </c>
      <c r="AB54">
        <f>IF(AND(A54&lt;&gt;"",K54&lt;&gt;"非表示",IF(タスク一覧!$B$4="すべて",TRUE,B54=タスク一覧!$B$4),IF(タスク一覧!$E$4="すべて",TRUE,C54=タスク一覧!$E$4),IF(タスク一覧!$H$4="すべて",TRUE,IF(タスク一覧!$H$4="完了以外",F54&lt;&gt;"完了",F54=タスク一覧!$H$4))),AA54*1000000+COUNTIF($C$5:$C$300,"&lt;"&amp;C54)*1000+ROW(),1000000000000)</f>
        <v>2018054</v>
      </c>
    </row>
    <row r="55" spans="1:28">
      <c r="A55" s="6" t="s">
        <v>186</v>
      </c>
      <c r="B55" s="6" t="s">
        <v>16</v>
      </c>
      <c r="C55" s="6" t="s">
        <v>92</v>
      </c>
      <c r="D55" s="6" t="s">
        <v>187</v>
      </c>
      <c r="E55" s="6" t="s">
        <v>32</v>
      </c>
      <c r="F55" s="6" t="s">
        <v>170</v>
      </c>
      <c r="G55" s="7">
        <v>8</v>
      </c>
      <c r="H55" s="8"/>
      <c r="I55" s="9" t="s">
        <v>188</v>
      </c>
      <c r="J55" s="9"/>
      <c r="K55" t="s">
        <v>230</v>
      </c>
      <c r="AA55">
        <f t="shared" si="0"/>
        <v>2</v>
      </c>
      <c r="AB55">
        <f>IF(AND(A55&lt;&gt;"",K55&lt;&gt;"非表示",IF(タスク一覧!$B$4="すべて",TRUE,B55=タスク一覧!$B$4),IF(タスク一覧!$E$4="すべて",TRUE,C55=タスク一覧!$E$4),IF(タスク一覧!$H$4="すべて",TRUE,IF(タスク一覧!$H$4="完了以外",F55&lt;&gt;"完了",F55=タスク一覧!$H$4))),AA55*1000000+COUNTIF($C$5:$C$300,"&lt;"&amp;C55)*1000+ROW(),1000000000000)</f>
        <v>2041055</v>
      </c>
    </row>
    <row r="56" spans="1:28">
      <c r="A56" s="6" t="s">
        <v>189</v>
      </c>
      <c r="B56" s="6" t="s">
        <v>15</v>
      </c>
      <c r="C56" s="6" t="s">
        <v>113</v>
      </c>
      <c r="D56" s="6" t="s">
        <v>190</v>
      </c>
      <c r="E56" s="6" t="s">
        <v>32</v>
      </c>
      <c r="F56" s="6" t="s">
        <v>170</v>
      </c>
      <c r="G56" s="7">
        <v>8</v>
      </c>
      <c r="H56" s="8"/>
      <c r="I56" s="9" t="s">
        <v>191</v>
      </c>
      <c r="J56" s="9"/>
      <c r="K56" t="s">
        <v>230</v>
      </c>
      <c r="AA56">
        <f t="shared" si="0"/>
        <v>1</v>
      </c>
      <c r="AB56">
        <f>IF(AND(A56&lt;&gt;"",K56&lt;&gt;"非表示",IF(タスク一覧!$B$4="すべて",TRUE,B56=タスク一覧!$B$4),IF(タスク一覧!$E$4="すべて",TRUE,C56=タスク一覧!$E$4),IF(タスク一覧!$H$4="すべて",TRUE,IF(タスク一覧!$H$4="完了以外",F56&lt;&gt;"完了",F56=タスク一覧!$H$4))),AA56*1000000+COUNTIF($C$5:$C$300,"&lt;"&amp;C56)*1000+ROW(),1000000000000)</f>
        <v>1013056</v>
      </c>
    </row>
    <row r="57" spans="1:28">
      <c r="A57" s="6" t="s">
        <v>192</v>
      </c>
      <c r="B57" s="6" t="s">
        <v>16</v>
      </c>
      <c r="C57" s="6" t="s">
        <v>193</v>
      </c>
      <c r="D57" s="6" t="s">
        <v>194</v>
      </c>
      <c r="E57" s="6" t="s">
        <v>32</v>
      </c>
      <c r="F57" s="6" t="s">
        <v>170</v>
      </c>
      <c r="G57" s="7">
        <v>8</v>
      </c>
      <c r="H57" s="8"/>
      <c r="I57" s="9" t="s">
        <v>195</v>
      </c>
      <c r="J57" s="9"/>
      <c r="K57" t="s">
        <v>230</v>
      </c>
      <c r="AA57">
        <f t="shared" si="0"/>
        <v>2</v>
      </c>
      <c r="AB57">
        <f>IF(AND(A57&lt;&gt;"",K57&lt;&gt;"非表示",IF(タスク一覧!$B$4="すべて",TRUE,B57=タスク一覧!$B$4),IF(タスク一覧!$E$4="すべて",TRUE,C57=タスク一覧!$E$4),IF(タスク一覧!$H$4="すべて",TRUE,IF(タスク一覧!$H$4="完了以外",F57&lt;&gt;"完了",F57=タスク一覧!$H$4))),AA57*1000000+COUNTIF($C$5:$C$300,"&lt;"&amp;C57)*1000+ROW(),1000000000000)</f>
        <v>2000057</v>
      </c>
    </row>
    <row r="58" spans="1:28">
      <c r="A58" s="6" t="s">
        <v>196</v>
      </c>
      <c r="B58" s="6" t="s">
        <v>17</v>
      </c>
      <c r="C58" s="6" t="s">
        <v>197</v>
      </c>
      <c r="D58" s="6" t="s">
        <v>198</v>
      </c>
      <c r="E58" s="6" t="s">
        <v>32</v>
      </c>
      <c r="F58" s="6" t="s">
        <v>170</v>
      </c>
      <c r="G58" s="7">
        <v>10</v>
      </c>
      <c r="H58" s="8"/>
      <c r="I58" s="9" t="s">
        <v>199</v>
      </c>
      <c r="J58" s="9"/>
      <c r="K58" t="s">
        <v>230</v>
      </c>
      <c r="AA58">
        <f t="shared" si="0"/>
        <v>3</v>
      </c>
      <c r="AB58">
        <f>IF(AND(A58&lt;&gt;"",K58&lt;&gt;"非表示",IF(タスク一覧!$B$4="すべて",TRUE,B58=タスク一覧!$B$4),IF(タスク一覧!$E$4="すべて",TRUE,C58=タスク一覧!$E$4),IF(タスク一覧!$H$4="すべて",TRUE,IF(タスク一覧!$H$4="完了以外",F58&lt;&gt;"完了",F58=タスク一覧!$H$4))),AA58*1000000+COUNTIF($C$5:$C$300,"&lt;"&amp;C58)*1000+ROW(),1000000000000)</f>
        <v>3017058</v>
      </c>
    </row>
    <row r="59" spans="1:28">
      <c r="A59" s="6" t="s">
        <v>200</v>
      </c>
      <c r="B59" s="6" t="s">
        <v>17</v>
      </c>
      <c r="C59" s="6" t="s">
        <v>140</v>
      </c>
      <c r="D59" s="6" t="s">
        <v>201</v>
      </c>
      <c r="E59" s="6" t="s">
        <v>103</v>
      </c>
      <c r="F59" s="6" t="s">
        <v>170</v>
      </c>
      <c r="G59" s="7">
        <v>6</v>
      </c>
      <c r="H59" s="8"/>
      <c r="I59" s="9" t="s">
        <v>202</v>
      </c>
      <c r="J59" s="9"/>
      <c r="K59" t="s">
        <v>230</v>
      </c>
      <c r="AA59">
        <f t="shared" si="0"/>
        <v>3</v>
      </c>
      <c r="AB59">
        <f>IF(AND(A59&lt;&gt;"",K59&lt;&gt;"非表示",IF(タスク一覧!$B$4="すべて",TRUE,B59=タスク一覧!$B$4),IF(タスク一覧!$E$4="すべて",TRUE,C59=タスク一覧!$E$4),IF(タスク一覧!$H$4="すべて",TRUE,IF(タスク一覧!$H$4="完了以外",F59&lt;&gt;"完了",F59=タスク一覧!$H$4))),AA59*1000000+COUNTIF($C$5:$C$300,"&lt;"&amp;C59)*1000+ROW(),1000000000000)</f>
        <v>3030059</v>
      </c>
    </row>
    <row r="60" spans="1:28">
      <c r="A60" s="6" t="s">
        <v>203</v>
      </c>
      <c r="B60" s="6" t="s">
        <v>18</v>
      </c>
      <c r="C60" s="6" t="s">
        <v>204</v>
      </c>
      <c r="D60" s="6" t="s">
        <v>205</v>
      </c>
      <c r="E60" s="6" t="s">
        <v>32</v>
      </c>
      <c r="F60" s="6" t="s">
        <v>170</v>
      </c>
      <c r="G60" s="7">
        <v>8</v>
      </c>
      <c r="H60" s="8"/>
      <c r="I60" s="9" t="s">
        <v>206</v>
      </c>
      <c r="J60" s="9" t="s">
        <v>207</v>
      </c>
      <c r="K60" t="s">
        <v>230</v>
      </c>
      <c r="AA60">
        <f t="shared" si="0"/>
        <v>4</v>
      </c>
      <c r="AB60">
        <f>IF(AND(A60&lt;&gt;"",K60&lt;&gt;"非表示",IF(タスク一覧!$B$4="すべて",TRUE,B60=タスク一覧!$B$4),IF(タスク一覧!$E$4="すべて",TRUE,C60=タスク一覧!$E$4),IF(タスク一覧!$H$4="すべて",TRUE,IF(タスク一覧!$H$4="完了以外",F60&lt;&gt;"完了",F60=タスク一覧!$H$4))),AA60*1000000+COUNTIF($C$5:$C$300,"&lt;"&amp;C60)*1000+ROW(),1000000000000)</f>
        <v>4035060</v>
      </c>
    </row>
    <row r="61" spans="1:28">
      <c r="A61" s="46"/>
      <c r="B61" s="46"/>
      <c r="C61" s="46"/>
      <c r="D61" s="46"/>
      <c r="E61" s="46"/>
      <c r="F61" s="46"/>
      <c r="G61" s="47"/>
      <c r="H61" s="48"/>
      <c r="I61" s="49"/>
      <c r="J61" s="49"/>
      <c r="AA61">
        <f t="shared" si="0"/>
        <v>5</v>
      </c>
      <c r="AB61">
        <f>IF(AND(A61&lt;&gt;"",K61&lt;&gt;"非表示",IF(タスク一覧!$B$4="すべて",TRUE,B61=タスク一覧!$B$4),IF(タスク一覧!$E$4="すべて",TRUE,C61=タスク一覧!$E$4),IF(タスク一覧!$H$4="すべて",TRUE,IF(タスク一覧!$H$4="完了以外",F61&lt;&gt;"完了",F61=タスク一覧!$H$4))),AA61*1000000+COUNTIF($C$5:$C$300,"&lt;"&amp;C61)*1000+ROW(),1000000000000)</f>
        <v>1000000000000</v>
      </c>
    </row>
    <row r="62" spans="1:28">
      <c r="A62" s="46"/>
      <c r="B62" s="46"/>
      <c r="C62" s="46"/>
      <c r="D62" s="46"/>
      <c r="E62" s="46"/>
      <c r="F62" s="46"/>
      <c r="G62" s="47"/>
      <c r="H62" s="48"/>
      <c r="I62" s="49"/>
      <c r="J62" s="49"/>
      <c r="AA62">
        <f t="shared" si="0"/>
        <v>5</v>
      </c>
      <c r="AB62">
        <f>IF(AND(A62&lt;&gt;"",K62&lt;&gt;"非表示",IF(タスク一覧!$B$4="すべて",TRUE,B62=タスク一覧!$B$4),IF(タスク一覧!$E$4="すべて",TRUE,C62=タスク一覧!$E$4),IF(タスク一覧!$H$4="すべて",TRUE,IF(タスク一覧!$H$4="完了以外",F62&lt;&gt;"完了",F62=タスク一覧!$H$4))),AA62*1000000+COUNTIF($C$5:$C$300,"&lt;"&amp;C62)*1000+ROW(),1000000000000)</f>
        <v>1000000000000</v>
      </c>
    </row>
    <row r="63" spans="1:28">
      <c r="A63" s="46"/>
      <c r="B63" s="46"/>
      <c r="C63" s="46"/>
      <c r="D63" s="46"/>
      <c r="E63" s="46"/>
      <c r="F63" s="46"/>
      <c r="G63" s="47"/>
      <c r="H63" s="48"/>
      <c r="I63" s="49"/>
      <c r="J63" s="49"/>
      <c r="AA63">
        <f t="shared" si="0"/>
        <v>5</v>
      </c>
      <c r="AB63">
        <f>IF(AND(A63&lt;&gt;"",K63&lt;&gt;"非表示",IF(タスク一覧!$B$4="すべて",TRUE,B63=タスク一覧!$B$4),IF(タスク一覧!$E$4="すべて",TRUE,C63=タスク一覧!$E$4),IF(タスク一覧!$H$4="すべて",TRUE,IF(タスク一覧!$H$4="完了以外",F63&lt;&gt;"完了",F63=タスク一覧!$H$4))),AA63*1000000+COUNTIF($C$5:$C$300,"&lt;"&amp;C63)*1000+ROW(),1000000000000)</f>
        <v>1000000000000</v>
      </c>
    </row>
    <row r="64" spans="1:28">
      <c r="A64" s="46"/>
      <c r="B64" s="46"/>
      <c r="C64" s="46"/>
      <c r="D64" s="46"/>
      <c r="E64" s="46"/>
      <c r="F64" s="46"/>
      <c r="G64" s="47"/>
      <c r="H64" s="48"/>
      <c r="I64" s="49"/>
      <c r="J64" s="49"/>
      <c r="AA64">
        <f t="shared" si="0"/>
        <v>5</v>
      </c>
      <c r="AB64">
        <f>IF(AND(A64&lt;&gt;"",K64&lt;&gt;"非表示",IF(タスク一覧!$B$4="すべて",TRUE,B64=タスク一覧!$B$4),IF(タスク一覧!$E$4="すべて",TRUE,C64=タスク一覧!$E$4),IF(タスク一覧!$H$4="すべて",TRUE,IF(タスク一覧!$H$4="完了以外",F64&lt;&gt;"完了",F64=タスク一覧!$H$4))),AA64*1000000+COUNTIF($C$5:$C$300,"&lt;"&amp;C64)*1000+ROW(),1000000000000)</f>
        <v>1000000000000</v>
      </c>
    </row>
    <row r="65" spans="1:28">
      <c r="A65" s="46"/>
      <c r="B65" s="46"/>
      <c r="C65" s="46"/>
      <c r="D65" s="46"/>
      <c r="E65" s="46"/>
      <c r="F65" s="46"/>
      <c r="G65" s="47"/>
      <c r="H65" s="48"/>
      <c r="I65" s="49"/>
      <c r="J65" s="49"/>
      <c r="AA65">
        <f t="shared" si="0"/>
        <v>5</v>
      </c>
      <c r="AB65">
        <f>IF(AND(A65&lt;&gt;"",K65&lt;&gt;"非表示",IF(タスク一覧!$B$4="すべて",TRUE,B65=タスク一覧!$B$4),IF(タスク一覧!$E$4="すべて",TRUE,C65=タスク一覧!$E$4),IF(タスク一覧!$H$4="すべて",TRUE,IF(タスク一覧!$H$4="完了以外",F65&lt;&gt;"完了",F65=タスク一覧!$H$4))),AA65*1000000+COUNTIF($C$5:$C$300,"&lt;"&amp;C65)*1000+ROW(),1000000000000)</f>
        <v>1000000000000</v>
      </c>
    </row>
    <row r="66" spans="1:28">
      <c r="A66" s="46"/>
      <c r="B66" s="46"/>
      <c r="C66" s="46"/>
      <c r="D66" s="46"/>
      <c r="E66" s="46"/>
      <c r="F66" s="46"/>
      <c r="G66" s="47"/>
      <c r="H66" s="48"/>
      <c r="I66" s="49"/>
      <c r="J66" s="49"/>
      <c r="AA66">
        <f t="shared" si="0"/>
        <v>5</v>
      </c>
      <c r="AB66">
        <f>IF(AND(A66&lt;&gt;"",K66&lt;&gt;"非表示",IF(タスク一覧!$B$4="すべて",TRUE,B66=タスク一覧!$B$4),IF(タスク一覧!$E$4="すべて",TRUE,C66=タスク一覧!$E$4),IF(タスク一覧!$H$4="すべて",TRUE,IF(タスク一覧!$H$4="完了以外",F66&lt;&gt;"完了",F66=タスク一覧!$H$4))),AA66*1000000+COUNTIF($C$5:$C$300,"&lt;"&amp;C66)*1000+ROW(),1000000000000)</f>
        <v>1000000000000</v>
      </c>
    </row>
    <row r="67" spans="1:28">
      <c r="A67" s="46"/>
      <c r="B67" s="46"/>
      <c r="C67" s="46"/>
      <c r="D67" s="46"/>
      <c r="E67" s="46"/>
      <c r="F67" s="46"/>
      <c r="G67" s="47"/>
      <c r="H67" s="48"/>
      <c r="I67" s="49"/>
      <c r="J67" s="49"/>
      <c r="AA67">
        <f t="shared" si="0"/>
        <v>5</v>
      </c>
      <c r="AB67">
        <f>IF(AND(A67&lt;&gt;"",K67&lt;&gt;"非表示",IF(タスク一覧!$B$4="すべて",TRUE,B67=タスク一覧!$B$4),IF(タスク一覧!$E$4="すべて",TRUE,C67=タスク一覧!$E$4),IF(タスク一覧!$H$4="すべて",TRUE,IF(タスク一覧!$H$4="完了以外",F67&lt;&gt;"完了",F67=タスク一覧!$H$4))),AA67*1000000+COUNTIF($C$5:$C$300,"&lt;"&amp;C67)*1000+ROW(),1000000000000)</f>
        <v>1000000000000</v>
      </c>
    </row>
    <row r="68" spans="1:28">
      <c r="A68" s="46"/>
      <c r="B68" s="46"/>
      <c r="C68" s="46"/>
      <c r="D68" s="46"/>
      <c r="E68" s="46"/>
      <c r="F68" s="46"/>
      <c r="G68" s="47"/>
      <c r="H68" s="48"/>
      <c r="I68" s="49"/>
      <c r="J68" s="49"/>
      <c r="AA68">
        <f t="shared" si="0"/>
        <v>5</v>
      </c>
      <c r="AB68">
        <f>IF(AND(A68&lt;&gt;"",K68&lt;&gt;"非表示",IF(タスク一覧!$B$4="すべて",TRUE,B68=タスク一覧!$B$4),IF(タスク一覧!$E$4="すべて",TRUE,C68=タスク一覧!$E$4),IF(タスク一覧!$H$4="すべて",TRUE,IF(タスク一覧!$H$4="完了以外",F68&lt;&gt;"完了",F68=タスク一覧!$H$4))),AA68*1000000+COUNTIF($C$5:$C$300,"&lt;"&amp;C68)*1000+ROW(),1000000000000)</f>
        <v>1000000000000</v>
      </c>
    </row>
    <row r="69" spans="1:28">
      <c r="A69" s="46"/>
      <c r="B69" s="46"/>
      <c r="C69" s="46"/>
      <c r="D69" s="46"/>
      <c r="E69" s="46"/>
      <c r="F69" s="46"/>
      <c r="G69" s="47"/>
      <c r="H69" s="48"/>
      <c r="I69" s="49"/>
      <c r="J69" s="49"/>
      <c r="AA69">
        <f t="shared" ref="AA69:AA132" si="1">IF(B69="プロト",1,IF(B69="アルファ",2,IF(B69="ベータ",3,IF(B69="マスター",4,5))))</f>
        <v>5</v>
      </c>
      <c r="AB69">
        <f>IF(AND(A69&lt;&gt;"",K69&lt;&gt;"非表示",IF(タスク一覧!$B$4="すべて",TRUE,B69=タスク一覧!$B$4),IF(タスク一覧!$E$4="すべて",TRUE,C69=タスク一覧!$E$4),IF(タスク一覧!$H$4="すべて",TRUE,IF(タスク一覧!$H$4="完了以外",F69&lt;&gt;"完了",F69=タスク一覧!$H$4))),AA69*1000000+COUNTIF($C$5:$C$300,"&lt;"&amp;C69)*1000+ROW(),1000000000000)</f>
        <v>1000000000000</v>
      </c>
    </row>
    <row r="70" spans="1:28">
      <c r="A70" s="46"/>
      <c r="B70" s="46"/>
      <c r="C70" s="46"/>
      <c r="D70" s="46"/>
      <c r="E70" s="46"/>
      <c r="F70" s="46"/>
      <c r="G70" s="47"/>
      <c r="H70" s="48"/>
      <c r="I70" s="49"/>
      <c r="J70" s="49"/>
      <c r="AA70">
        <f t="shared" si="1"/>
        <v>5</v>
      </c>
      <c r="AB70">
        <f>IF(AND(A70&lt;&gt;"",K70&lt;&gt;"非表示",IF(タスク一覧!$B$4="すべて",TRUE,B70=タスク一覧!$B$4),IF(タスク一覧!$E$4="すべて",TRUE,C70=タスク一覧!$E$4),IF(タスク一覧!$H$4="すべて",TRUE,IF(タスク一覧!$H$4="完了以外",F70&lt;&gt;"完了",F70=タスク一覧!$H$4))),AA70*1000000+COUNTIF($C$5:$C$300,"&lt;"&amp;C70)*1000+ROW(),1000000000000)</f>
        <v>1000000000000</v>
      </c>
    </row>
    <row r="71" spans="1:28">
      <c r="A71" s="46"/>
      <c r="B71" s="46"/>
      <c r="C71" s="46"/>
      <c r="D71" s="46"/>
      <c r="E71" s="46"/>
      <c r="F71" s="46"/>
      <c r="G71" s="47"/>
      <c r="H71" s="48"/>
      <c r="I71" s="49"/>
      <c r="J71" s="49"/>
      <c r="AA71">
        <f t="shared" si="1"/>
        <v>5</v>
      </c>
      <c r="AB71">
        <f>IF(AND(A71&lt;&gt;"",K71&lt;&gt;"非表示",IF(タスク一覧!$B$4="すべて",TRUE,B71=タスク一覧!$B$4),IF(タスク一覧!$E$4="すべて",TRUE,C71=タスク一覧!$E$4),IF(タスク一覧!$H$4="すべて",TRUE,IF(タスク一覧!$H$4="完了以外",F71&lt;&gt;"完了",F71=タスク一覧!$H$4))),AA71*1000000+COUNTIF($C$5:$C$300,"&lt;"&amp;C71)*1000+ROW(),1000000000000)</f>
        <v>1000000000000</v>
      </c>
    </row>
    <row r="72" spans="1:28">
      <c r="A72" s="46"/>
      <c r="B72" s="46"/>
      <c r="C72" s="46"/>
      <c r="D72" s="46"/>
      <c r="E72" s="46"/>
      <c r="F72" s="46"/>
      <c r="G72" s="47"/>
      <c r="H72" s="48"/>
      <c r="I72" s="49"/>
      <c r="J72" s="49"/>
      <c r="AA72">
        <f t="shared" si="1"/>
        <v>5</v>
      </c>
      <c r="AB72">
        <f>IF(AND(A72&lt;&gt;"",K72&lt;&gt;"非表示",IF(タスク一覧!$B$4="すべて",TRUE,B72=タスク一覧!$B$4),IF(タスク一覧!$E$4="すべて",TRUE,C72=タスク一覧!$E$4),IF(タスク一覧!$H$4="すべて",TRUE,IF(タスク一覧!$H$4="完了以外",F72&lt;&gt;"完了",F72=タスク一覧!$H$4))),AA72*1000000+COUNTIF($C$5:$C$300,"&lt;"&amp;C72)*1000+ROW(),1000000000000)</f>
        <v>1000000000000</v>
      </c>
    </row>
    <row r="73" spans="1:28">
      <c r="A73" s="46"/>
      <c r="B73" s="46"/>
      <c r="C73" s="46"/>
      <c r="D73" s="46"/>
      <c r="E73" s="46"/>
      <c r="F73" s="46"/>
      <c r="G73" s="47"/>
      <c r="H73" s="48"/>
      <c r="I73" s="49"/>
      <c r="J73" s="49"/>
      <c r="AA73">
        <f t="shared" si="1"/>
        <v>5</v>
      </c>
      <c r="AB73">
        <f>IF(AND(A73&lt;&gt;"",K73&lt;&gt;"非表示",IF(タスク一覧!$B$4="すべて",TRUE,B73=タスク一覧!$B$4),IF(タスク一覧!$E$4="すべて",TRUE,C73=タスク一覧!$E$4),IF(タスク一覧!$H$4="すべて",TRUE,IF(タスク一覧!$H$4="完了以外",F73&lt;&gt;"完了",F73=タスク一覧!$H$4))),AA73*1000000+COUNTIF($C$5:$C$300,"&lt;"&amp;C73)*1000+ROW(),1000000000000)</f>
        <v>1000000000000</v>
      </c>
    </row>
    <row r="74" spans="1:28">
      <c r="A74" s="46"/>
      <c r="B74" s="46"/>
      <c r="C74" s="46"/>
      <c r="D74" s="46"/>
      <c r="E74" s="46"/>
      <c r="F74" s="46"/>
      <c r="G74" s="47"/>
      <c r="H74" s="48"/>
      <c r="I74" s="49"/>
      <c r="J74" s="49"/>
      <c r="AA74">
        <f t="shared" si="1"/>
        <v>5</v>
      </c>
      <c r="AB74">
        <f>IF(AND(A74&lt;&gt;"",K74&lt;&gt;"非表示",IF(タスク一覧!$B$4="すべて",TRUE,B74=タスク一覧!$B$4),IF(タスク一覧!$E$4="すべて",TRUE,C74=タスク一覧!$E$4),IF(タスク一覧!$H$4="すべて",TRUE,IF(タスク一覧!$H$4="完了以外",F74&lt;&gt;"完了",F74=タスク一覧!$H$4))),AA74*1000000+COUNTIF($C$5:$C$300,"&lt;"&amp;C74)*1000+ROW(),1000000000000)</f>
        <v>1000000000000</v>
      </c>
    </row>
    <row r="75" spans="1:28">
      <c r="A75" s="46"/>
      <c r="B75" s="46"/>
      <c r="C75" s="46"/>
      <c r="D75" s="46"/>
      <c r="E75" s="46"/>
      <c r="F75" s="46"/>
      <c r="G75" s="47"/>
      <c r="H75" s="48"/>
      <c r="I75" s="49"/>
      <c r="J75" s="49"/>
      <c r="AA75">
        <f t="shared" si="1"/>
        <v>5</v>
      </c>
      <c r="AB75">
        <f>IF(AND(A75&lt;&gt;"",K75&lt;&gt;"非表示",IF(タスク一覧!$B$4="すべて",TRUE,B75=タスク一覧!$B$4),IF(タスク一覧!$E$4="すべて",TRUE,C75=タスク一覧!$E$4),IF(タスク一覧!$H$4="すべて",TRUE,IF(タスク一覧!$H$4="完了以外",F75&lt;&gt;"完了",F75=タスク一覧!$H$4))),AA75*1000000+COUNTIF($C$5:$C$300,"&lt;"&amp;C75)*1000+ROW(),1000000000000)</f>
        <v>1000000000000</v>
      </c>
    </row>
    <row r="76" spans="1:28">
      <c r="A76" s="46"/>
      <c r="B76" s="46"/>
      <c r="C76" s="46"/>
      <c r="D76" s="46"/>
      <c r="E76" s="46"/>
      <c r="F76" s="46"/>
      <c r="G76" s="47"/>
      <c r="H76" s="48"/>
      <c r="I76" s="49"/>
      <c r="J76" s="49"/>
      <c r="AA76">
        <f t="shared" si="1"/>
        <v>5</v>
      </c>
      <c r="AB76">
        <f>IF(AND(A76&lt;&gt;"",K76&lt;&gt;"非表示",IF(タスク一覧!$B$4="すべて",TRUE,B76=タスク一覧!$B$4),IF(タスク一覧!$E$4="すべて",TRUE,C76=タスク一覧!$E$4),IF(タスク一覧!$H$4="すべて",TRUE,IF(タスク一覧!$H$4="完了以外",F76&lt;&gt;"完了",F76=タスク一覧!$H$4))),AA76*1000000+COUNTIF($C$5:$C$300,"&lt;"&amp;C76)*1000+ROW(),1000000000000)</f>
        <v>1000000000000</v>
      </c>
    </row>
    <row r="77" spans="1:28">
      <c r="A77" s="46"/>
      <c r="B77" s="46"/>
      <c r="C77" s="46"/>
      <c r="D77" s="46"/>
      <c r="E77" s="46"/>
      <c r="F77" s="46"/>
      <c r="G77" s="47"/>
      <c r="H77" s="48"/>
      <c r="I77" s="49"/>
      <c r="J77" s="49"/>
      <c r="AA77">
        <f t="shared" si="1"/>
        <v>5</v>
      </c>
      <c r="AB77">
        <f>IF(AND(A77&lt;&gt;"",K77&lt;&gt;"非表示",IF(タスク一覧!$B$4="すべて",TRUE,B77=タスク一覧!$B$4),IF(タスク一覧!$E$4="すべて",TRUE,C77=タスク一覧!$E$4),IF(タスク一覧!$H$4="すべて",TRUE,IF(タスク一覧!$H$4="完了以外",F77&lt;&gt;"完了",F77=タスク一覧!$H$4))),AA77*1000000+COUNTIF($C$5:$C$300,"&lt;"&amp;C77)*1000+ROW(),1000000000000)</f>
        <v>1000000000000</v>
      </c>
    </row>
    <row r="78" spans="1:28">
      <c r="A78" s="46"/>
      <c r="B78" s="46"/>
      <c r="C78" s="46"/>
      <c r="D78" s="46"/>
      <c r="E78" s="46"/>
      <c r="F78" s="46"/>
      <c r="G78" s="47"/>
      <c r="H78" s="48"/>
      <c r="I78" s="49"/>
      <c r="J78" s="49"/>
      <c r="AA78">
        <f t="shared" si="1"/>
        <v>5</v>
      </c>
      <c r="AB78">
        <f>IF(AND(A78&lt;&gt;"",K78&lt;&gt;"非表示",IF(タスク一覧!$B$4="すべて",TRUE,B78=タスク一覧!$B$4),IF(タスク一覧!$E$4="すべて",TRUE,C78=タスク一覧!$E$4),IF(タスク一覧!$H$4="すべて",TRUE,IF(タスク一覧!$H$4="完了以外",F78&lt;&gt;"完了",F78=タスク一覧!$H$4))),AA78*1000000+COUNTIF($C$5:$C$300,"&lt;"&amp;C78)*1000+ROW(),1000000000000)</f>
        <v>1000000000000</v>
      </c>
    </row>
    <row r="79" spans="1:28">
      <c r="A79" s="46"/>
      <c r="B79" s="46"/>
      <c r="C79" s="46"/>
      <c r="D79" s="46"/>
      <c r="E79" s="46"/>
      <c r="F79" s="46"/>
      <c r="G79" s="47"/>
      <c r="H79" s="48"/>
      <c r="I79" s="49"/>
      <c r="J79" s="49"/>
      <c r="AA79">
        <f t="shared" si="1"/>
        <v>5</v>
      </c>
      <c r="AB79">
        <f>IF(AND(A79&lt;&gt;"",K79&lt;&gt;"非表示",IF(タスク一覧!$B$4="すべて",TRUE,B79=タスク一覧!$B$4),IF(タスク一覧!$E$4="すべて",TRUE,C79=タスク一覧!$E$4),IF(タスク一覧!$H$4="すべて",TRUE,IF(タスク一覧!$H$4="完了以外",F79&lt;&gt;"完了",F79=タスク一覧!$H$4))),AA79*1000000+COUNTIF($C$5:$C$300,"&lt;"&amp;C79)*1000+ROW(),1000000000000)</f>
        <v>1000000000000</v>
      </c>
    </row>
    <row r="80" spans="1:28">
      <c r="A80" s="46"/>
      <c r="B80" s="46"/>
      <c r="C80" s="46"/>
      <c r="D80" s="46"/>
      <c r="E80" s="46"/>
      <c r="F80" s="46"/>
      <c r="G80" s="47"/>
      <c r="H80" s="48"/>
      <c r="I80" s="49"/>
      <c r="J80" s="49"/>
      <c r="AA80">
        <f t="shared" si="1"/>
        <v>5</v>
      </c>
      <c r="AB80">
        <f>IF(AND(A80&lt;&gt;"",K80&lt;&gt;"非表示",IF(タスク一覧!$B$4="すべて",TRUE,B80=タスク一覧!$B$4),IF(タスク一覧!$E$4="すべて",TRUE,C80=タスク一覧!$E$4),IF(タスク一覧!$H$4="すべて",TRUE,IF(タスク一覧!$H$4="完了以外",F80&lt;&gt;"完了",F80=タスク一覧!$H$4))),AA80*1000000+COUNTIF($C$5:$C$300,"&lt;"&amp;C80)*1000+ROW(),1000000000000)</f>
        <v>1000000000000</v>
      </c>
    </row>
    <row r="81" spans="1:28">
      <c r="A81" s="46"/>
      <c r="B81" s="46"/>
      <c r="C81" s="46"/>
      <c r="D81" s="46"/>
      <c r="E81" s="46"/>
      <c r="F81" s="46"/>
      <c r="G81" s="47"/>
      <c r="H81" s="48"/>
      <c r="I81" s="49"/>
      <c r="J81" s="49"/>
      <c r="AA81">
        <f t="shared" si="1"/>
        <v>5</v>
      </c>
      <c r="AB81">
        <f>IF(AND(A81&lt;&gt;"",K81&lt;&gt;"非表示",IF(タスク一覧!$B$4="すべて",TRUE,B81=タスク一覧!$B$4),IF(タスク一覧!$E$4="すべて",TRUE,C81=タスク一覧!$E$4),IF(タスク一覧!$H$4="すべて",TRUE,IF(タスク一覧!$H$4="完了以外",F81&lt;&gt;"完了",F81=タスク一覧!$H$4))),AA81*1000000+COUNTIF($C$5:$C$300,"&lt;"&amp;C81)*1000+ROW(),1000000000000)</f>
        <v>1000000000000</v>
      </c>
    </row>
    <row r="82" spans="1:28">
      <c r="A82" s="46"/>
      <c r="B82" s="46"/>
      <c r="C82" s="46"/>
      <c r="D82" s="46"/>
      <c r="E82" s="46"/>
      <c r="F82" s="46"/>
      <c r="G82" s="47"/>
      <c r="H82" s="48"/>
      <c r="I82" s="49"/>
      <c r="J82" s="49"/>
      <c r="AA82">
        <f t="shared" si="1"/>
        <v>5</v>
      </c>
      <c r="AB82">
        <f>IF(AND(A82&lt;&gt;"",K82&lt;&gt;"非表示",IF(タスク一覧!$B$4="すべて",TRUE,B82=タスク一覧!$B$4),IF(タスク一覧!$E$4="すべて",TRUE,C82=タスク一覧!$E$4),IF(タスク一覧!$H$4="すべて",TRUE,IF(タスク一覧!$H$4="完了以外",F82&lt;&gt;"完了",F82=タスク一覧!$H$4))),AA82*1000000+COUNTIF($C$5:$C$300,"&lt;"&amp;C82)*1000+ROW(),1000000000000)</f>
        <v>1000000000000</v>
      </c>
    </row>
    <row r="83" spans="1:28">
      <c r="A83" s="46"/>
      <c r="B83" s="46"/>
      <c r="C83" s="46"/>
      <c r="D83" s="46"/>
      <c r="E83" s="46"/>
      <c r="F83" s="46"/>
      <c r="G83" s="47"/>
      <c r="H83" s="48"/>
      <c r="I83" s="49"/>
      <c r="J83" s="49"/>
      <c r="AA83">
        <f t="shared" si="1"/>
        <v>5</v>
      </c>
      <c r="AB83">
        <f>IF(AND(A83&lt;&gt;"",K83&lt;&gt;"非表示",IF(タスク一覧!$B$4="すべて",TRUE,B83=タスク一覧!$B$4),IF(タスク一覧!$E$4="すべて",TRUE,C83=タスク一覧!$E$4),IF(タスク一覧!$H$4="すべて",TRUE,IF(タスク一覧!$H$4="完了以外",F83&lt;&gt;"完了",F83=タスク一覧!$H$4))),AA83*1000000+COUNTIF($C$5:$C$300,"&lt;"&amp;C83)*1000+ROW(),1000000000000)</f>
        <v>1000000000000</v>
      </c>
    </row>
    <row r="84" spans="1:28">
      <c r="A84" s="46"/>
      <c r="B84" s="46"/>
      <c r="C84" s="46"/>
      <c r="D84" s="46"/>
      <c r="E84" s="46"/>
      <c r="F84" s="46"/>
      <c r="G84" s="47"/>
      <c r="H84" s="48"/>
      <c r="I84" s="49"/>
      <c r="J84" s="49"/>
      <c r="AA84">
        <f t="shared" si="1"/>
        <v>5</v>
      </c>
      <c r="AB84">
        <f>IF(AND(A84&lt;&gt;"",K84&lt;&gt;"非表示",IF(タスク一覧!$B$4="すべて",TRUE,B84=タスク一覧!$B$4),IF(タスク一覧!$E$4="すべて",TRUE,C84=タスク一覧!$E$4),IF(タスク一覧!$H$4="すべて",TRUE,IF(タスク一覧!$H$4="完了以外",F84&lt;&gt;"完了",F84=タスク一覧!$H$4))),AA84*1000000+COUNTIF($C$5:$C$300,"&lt;"&amp;C84)*1000+ROW(),1000000000000)</f>
        <v>1000000000000</v>
      </c>
    </row>
    <row r="85" spans="1:28">
      <c r="A85" s="46"/>
      <c r="B85" s="46"/>
      <c r="C85" s="46"/>
      <c r="D85" s="46"/>
      <c r="E85" s="46"/>
      <c r="F85" s="46"/>
      <c r="G85" s="47"/>
      <c r="H85" s="48"/>
      <c r="I85" s="49"/>
      <c r="J85" s="49"/>
      <c r="AA85">
        <f t="shared" si="1"/>
        <v>5</v>
      </c>
      <c r="AB85">
        <f>IF(AND(A85&lt;&gt;"",K85&lt;&gt;"非表示",IF(タスク一覧!$B$4="すべて",TRUE,B85=タスク一覧!$B$4),IF(タスク一覧!$E$4="すべて",TRUE,C85=タスク一覧!$E$4),IF(タスク一覧!$H$4="すべて",TRUE,IF(タスク一覧!$H$4="完了以外",F85&lt;&gt;"完了",F85=タスク一覧!$H$4))),AA85*1000000+COUNTIF($C$5:$C$300,"&lt;"&amp;C85)*1000+ROW(),1000000000000)</f>
        <v>1000000000000</v>
      </c>
    </row>
    <row r="86" spans="1:28">
      <c r="A86" s="46"/>
      <c r="B86" s="46"/>
      <c r="C86" s="46"/>
      <c r="D86" s="46"/>
      <c r="E86" s="46"/>
      <c r="F86" s="46"/>
      <c r="G86" s="47"/>
      <c r="H86" s="48"/>
      <c r="I86" s="49"/>
      <c r="J86" s="49"/>
      <c r="AA86">
        <f t="shared" si="1"/>
        <v>5</v>
      </c>
      <c r="AB86">
        <f>IF(AND(A86&lt;&gt;"",K86&lt;&gt;"非表示",IF(タスク一覧!$B$4="すべて",TRUE,B86=タスク一覧!$B$4),IF(タスク一覧!$E$4="すべて",TRUE,C86=タスク一覧!$E$4),IF(タスク一覧!$H$4="すべて",TRUE,IF(タスク一覧!$H$4="完了以外",F86&lt;&gt;"完了",F86=タスク一覧!$H$4))),AA86*1000000+COUNTIF($C$5:$C$300,"&lt;"&amp;C86)*1000+ROW(),1000000000000)</f>
        <v>1000000000000</v>
      </c>
    </row>
    <row r="87" spans="1:28">
      <c r="A87" s="46"/>
      <c r="B87" s="46"/>
      <c r="C87" s="46"/>
      <c r="D87" s="46"/>
      <c r="E87" s="46"/>
      <c r="F87" s="46"/>
      <c r="G87" s="47"/>
      <c r="H87" s="48"/>
      <c r="I87" s="49"/>
      <c r="J87" s="49"/>
      <c r="AA87">
        <f t="shared" si="1"/>
        <v>5</v>
      </c>
      <c r="AB87">
        <f>IF(AND(A87&lt;&gt;"",K87&lt;&gt;"非表示",IF(タスク一覧!$B$4="すべて",TRUE,B87=タスク一覧!$B$4),IF(タスク一覧!$E$4="すべて",TRUE,C87=タスク一覧!$E$4),IF(タスク一覧!$H$4="すべて",TRUE,IF(タスク一覧!$H$4="完了以外",F87&lt;&gt;"完了",F87=タスク一覧!$H$4))),AA87*1000000+COUNTIF($C$5:$C$300,"&lt;"&amp;C87)*1000+ROW(),1000000000000)</f>
        <v>1000000000000</v>
      </c>
    </row>
    <row r="88" spans="1:28">
      <c r="A88" s="46"/>
      <c r="B88" s="46"/>
      <c r="C88" s="46"/>
      <c r="D88" s="46"/>
      <c r="E88" s="46"/>
      <c r="F88" s="46"/>
      <c r="G88" s="47"/>
      <c r="H88" s="48"/>
      <c r="I88" s="49"/>
      <c r="J88" s="49"/>
      <c r="AA88">
        <f t="shared" si="1"/>
        <v>5</v>
      </c>
      <c r="AB88">
        <f>IF(AND(A88&lt;&gt;"",K88&lt;&gt;"非表示",IF(タスク一覧!$B$4="すべて",TRUE,B88=タスク一覧!$B$4),IF(タスク一覧!$E$4="すべて",TRUE,C88=タスク一覧!$E$4),IF(タスク一覧!$H$4="すべて",TRUE,IF(タスク一覧!$H$4="完了以外",F88&lt;&gt;"完了",F88=タスク一覧!$H$4))),AA88*1000000+COUNTIF($C$5:$C$300,"&lt;"&amp;C88)*1000+ROW(),1000000000000)</f>
        <v>1000000000000</v>
      </c>
    </row>
    <row r="89" spans="1:28">
      <c r="A89" s="46"/>
      <c r="B89" s="46"/>
      <c r="C89" s="46"/>
      <c r="D89" s="46"/>
      <c r="E89" s="46"/>
      <c r="F89" s="46"/>
      <c r="G89" s="47"/>
      <c r="H89" s="48"/>
      <c r="I89" s="49"/>
      <c r="J89" s="49"/>
      <c r="AA89">
        <f t="shared" si="1"/>
        <v>5</v>
      </c>
      <c r="AB89">
        <f>IF(AND(A89&lt;&gt;"",K89&lt;&gt;"非表示",IF(タスク一覧!$B$4="すべて",TRUE,B89=タスク一覧!$B$4),IF(タスク一覧!$E$4="すべて",TRUE,C89=タスク一覧!$E$4),IF(タスク一覧!$H$4="すべて",TRUE,IF(タスク一覧!$H$4="完了以外",F89&lt;&gt;"完了",F89=タスク一覧!$H$4))),AA89*1000000+COUNTIF($C$5:$C$300,"&lt;"&amp;C89)*1000+ROW(),1000000000000)</f>
        <v>1000000000000</v>
      </c>
    </row>
    <row r="90" spans="1:28">
      <c r="A90" s="46"/>
      <c r="B90" s="46"/>
      <c r="C90" s="46"/>
      <c r="D90" s="46"/>
      <c r="E90" s="46"/>
      <c r="F90" s="46"/>
      <c r="G90" s="47"/>
      <c r="H90" s="48"/>
      <c r="I90" s="49"/>
      <c r="J90" s="49"/>
      <c r="AA90">
        <f t="shared" si="1"/>
        <v>5</v>
      </c>
      <c r="AB90">
        <f>IF(AND(A90&lt;&gt;"",K90&lt;&gt;"非表示",IF(タスク一覧!$B$4="すべて",TRUE,B90=タスク一覧!$B$4),IF(タスク一覧!$E$4="すべて",TRUE,C90=タスク一覧!$E$4),IF(タスク一覧!$H$4="すべて",TRUE,IF(タスク一覧!$H$4="完了以外",F90&lt;&gt;"完了",F90=タスク一覧!$H$4))),AA90*1000000+COUNTIF($C$5:$C$300,"&lt;"&amp;C90)*1000+ROW(),1000000000000)</f>
        <v>1000000000000</v>
      </c>
    </row>
    <row r="91" spans="1:28">
      <c r="A91" s="46"/>
      <c r="B91" s="46"/>
      <c r="C91" s="46"/>
      <c r="D91" s="46"/>
      <c r="E91" s="46"/>
      <c r="F91" s="46"/>
      <c r="G91" s="47"/>
      <c r="H91" s="48"/>
      <c r="I91" s="49"/>
      <c r="J91" s="49"/>
      <c r="AA91">
        <f t="shared" si="1"/>
        <v>5</v>
      </c>
      <c r="AB91">
        <f>IF(AND(A91&lt;&gt;"",K91&lt;&gt;"非表示",IF(タスク一覧!$B$4="すべて",TRUE,B91=タスク一覧!$B$4),IF(タスク一覧!$E$4="すべて",TRUE,C91=タスク一覧!$E$4),IF(タスク一覧!$H$4="すべて",TRUE,IF(タスク一覧!$H$4="完了以外",F91&lt;&gt;"完了",F91=タスク一覧!$H$4))),AA91*1000000+COUNTIF($C$5:$C$300,"&lt;"&amp;C91)*1000+ROW(),1000000000000)</f>
        <v>1000000000000</v>
      </c>
    </row>
    <row r="92" spans="1:28">
      <c r="A92" s="46"/>
      <c r="B92" s="46"/>
      <c r="C92" s="46"/>
      <c r="D92" s="46"/>
      <c r="E92" s="46"/>
      <c r="F92" s="46"/>
      <c r="G92" s="47"/>
      <c r="H92" s="48"/>
      <c r="I92" s="49"/>
      <c r="J92" s="49"/>
      <c r="AA92">
        <f t="shared" si="1"/>
        <v>5</v>
      </c>
      <c r="AB92">
        <f>IF(AND(A92&lt;&gt;"",K92&lt;&gt;"非表示",IF(タスク一覧!$B$4="すべて",TRUE,B92=タスク一覧!$B$4),IF(タスク一覧!$E$4="すべて",TRUE,C92=タスク一覧!$E$4),IF(タスク一覧!$H$4="すべて",TRUE,IF(タスク一覧!$H$4="完了以外",F92&lt;&gt;"完了",F92=タスク一覧!$H$4))),AA92*1000000+COUNTIF($C$5:$C$300,"&lt;"&amp;C92)*1000+ROW(),1000000000000)</f>
        <v>1000000000000</v>
      </c>
    </row>
    <row r="93" spans="1:28">
      <c r="A93" s="46"/>
      <c r="B93" s="46"/>
      <c r="C93" s="46"/>
      <c r="D93" s="46"/>
      <c r="E93" s="46"/>
      <c r="F93" s="46"/>
      <c r="G93" s="47"/>
      <c r="H93" s="48"/>
      <c r="I93" s="49"/>
      <c r="J93" s="49"/>
      <c r="AA93">
        <f t="shared" si="1"/>
        <v>5</v>
      </c>
      <c r="AB93">
        <f>IF(AND(A93&lt;&gt;"",K93&lt;&gt;"非表示",IF(タスク一覧!$B$4="すべて",TRUE,B93=タスク一覧!$B$4),IF(タスク一覧!$E$4="すべて",TRUE,C93=タスク一覧!$E$4),IF(タスク一覧!$H$4="すべて",TRUE,IF(タスク一覧!$H$4="完了以外",F93&lt;&gt;"完了",F93=タスク一覧!$H$4))),AA93*1000000+COUNTIF($C$5:$C$300,"&lt;"&amp;C93)*1000+ROW(),1000000000000)</f>
        <v>1000000000000</v>
      </c>
    </row>
    <row r="94" spans="1:28">
      <c r="A94" s="46"/>
      <c r="B94" s="46"/>
      <c r="C94" s="46"/>
      <c r="D94" s="46"/>
      <c r="E94" s="46"/>
      <c r="F94" s="46"/>
      <c r="G94" s="47"/>
      <c r="H94" s="48"/>
      <c r="I94" s="49"/>
      <c r="J94" s="49"/>
      <c r="AA94">
        <f t="shared" si="1"/>
        <v>5</v>
      </c>
      <c r="AB94">
        <f>IF(AND(A94&lt;&gt;"",K94&lt;&gt;"非表示",IF(タスク一覧!$B$4="すべて",TRUE,B94=タスク一覧!$B$4),IF(タスク一覧!$E$4="すべて",TRUE,C94=タスク一覧!$E$4),IF(タスク一覧!$H$4="すべて",TRUE,IF(タスク一覧!$H$4="完了以外",F94&lt;&gt;"完了",F94=タスク一覧!$H$4))),AA94*1000000+COUNTIF($C$5:$C$300,"&lt;"&amp;C94)*1000+ROW(),1000000000000)</f>
        <v>1000000000000</v>
      </c>
    </row>
    <row r="95" spans="1:28">
      <c r="A95" s="46"/>
      <c r="B95" s="46"/>
      <c r="C95" s="46"/>
      <c r="D95" s="46"/>
      <c r="E95" s="46"/>
      <c r="F95" s="46"/>
      <c r="G95" s="47"/>
      <c r="H95" s="48"/>
      <c r="I95" s="49"/>
      <c r="J95" s="49"/>
      <c r="AA95">
        <f t="shared" si="1"/>
        <v>5</v>
      </c>
      <c r="AB95">
        <f>IF(AND(A95&lt;&gt;"",K95&lt;&gt;"非表示",IF(タスク一覧!$B$4="すべて",TRUE,B95=タスク一覧!$B$4),IF(タスク一覧!$E$4="すべて",TRUE,C95=タスク一覧!$E$4),IF(タスク一覧!$H$4="すべて",TRUE,IF(タスク一覧!$H$4="完了以外",F95&lt;&gt;"完了",F95=タスク一覧!$H$4))),AA95*1000000+COUNTIF($C$5:$C$300,"&lt;"&amp;C95)*1000+ROW(),1000000000000)</f>
        <v>1000000000000</v>
      </c>
    </row>
    <row r="96" spans="1:28">
      <c r="A96" s="46"/>
      <c r="B96" s="46"/>
      <c r="C96" s="46"/>
      <c r="D96" s="46"/>
      <c r="E96" s="46"/>
      <c r="F96" s="46"/>
      <c r="G96" s="47"/>
      <c r="H96" s="48"/>
      <c r="I96" s="49"/>
      <c r="J96" s="49"/>
      <c r="AA96">
        <f t="shared" si="1"/>
        <v>5</v>
      </c>
      <c r="AB96">
        <f>IF(AND(A96&lt;&gt;"",K96&lt;&gt;"非表示",IF(タスク一覧!$B$4="すべて",TRUE,B96=タスク一覧!$B$4),IF(タスク一覧!$E$4="すべて",TRUE,C96=タスク一覧!$E$4),IF(タスク一覧!$H$4="すべて",TRUE,IF(タスク一覧!$H$4="完了以外",F96&lt;&gt;"完了",F96=タスク一覧!$H$4))),AA96*1000000+COUNTIF($C$5:$C$300,"&lt;"&amp;C96)*1000+ROW(),1000000000000)</f>
        <v>1000000000000</v>
      </c>
    </row>
    <row r="97" spans="1:28">
      <c r="A97" s="46"/>
      <c r="B97" s="46"/>
      <c r="C97" s="46"/>
      <c r="D97" s="46"/>
      <c r="E97" s="46"/>
      <c r="F97" s="46"/>
      <c r="G97" s="47"/>
      <c r="H97" s="48"/>
      <c r="I97" s="49"/>
      <c r="J97" s="49"/>
      <c r="AA97">
        <f t="shared" si="1"/>
        <v>5</v>
      </c>
      <c r="AB97">
        <f>IF(AND(A97&lt;&gt;"",K97&lt;&gt;"非表示",IF(タスク一覧!$B$4="すべて",TRUE,B97=タスク一覧!$B$4),IF(タスク一覧!$E$4="すべて",TRUE,C97=タスク一覧!$E$4),IF(タスク一覧!$H$4="すべて",TRUE,IF(タスク一覧!$H$4="完了以外",F97&lt;&gt;"完了",F97=タスク一覧!$H$4))),AA97*1000000+COUNTIF($C$5:$C$300,"&lt;"&amp;C97)*1000+ROW(),1000000000000)</f>
        <v>1000000000000</v>
      </c>
    </row>
    <row r="98" spans="1:28">
      <c r="A98" s="46"/>
      <c r="B98" s="46"/>
      <c r="C98" s="46"/>
      <c r="D98" s="46"/>
      <c r="E98" s="46"/>
      <c r="F98" s="46"/>
      <c r="G98" s="47"/>
      <c r="H98" s="48"/>
      <c r="I98" s="49"/>
      <c r="J98" s="49"/>
      <c r="AA98">
        <f t="shared" si="1"/>
        <v>5</v>
      </c>
      <c r="AB98">
        <f>IF(AND(A98&lt;&gt;"",K98&lt;&gt;"非表示",IF(タスク一覧!$B$4="すべて",TRUE,B98=タスク一覧!$B$4),IF(タスク一覧!$E$4="すべて",TRUE,C98=タスク一覧!$E$4),IF(タスク一覧!$H$4="すべて",TRUE,IF(タスク一覧!$H$4="完了以外",F98&lt;&gt;"完了",F98=タスク一覧!$H$4))),AA98*1000000+COUNTIF($C$5:$C$300,"&lt;"&amp;C98)*1000+ROW(),1000000000000)</f>
        <v>1000000000000</v>
      </c>
    </row>
    <row r="99" spans="1:28">
      <c r="A99" s="46"/>
      <c r="B99" s="46"/>
      <c r="C99" s="46"/>
      <c r="D99" s="46"/>
      <c r="E99" s="46"/>
      <c r="F99" s="46"/>
      <c r="G99" s="47"/>
      <c r="H99" s="48"/>
      <c r="I99" s="49"/>
      <c r="J99" s="49"/>
      <c r="AA99">
        <f t="shared" si="1"/>
        <v>5</v>
      </c>
      <c r="AB99">
        <f>IF(AND(A99&lt;&gt;"",K99&lt;&gt;"非表示",IF(タスク一覧!$B$4="すべて",TRUE,B99=タスク一覧!$B$4),IF(タスク一覧!$E$4="すべて",TRUE,C99=タスク一覧!$E$4),IF(タスク一覧!$H$4="すべて",TRUE,IF(タスク一覧!$H$4="完了以外",F99&lt;&gt;"完了",F99=タスク一覧!$H$4))),AA99*1000000+COUNTIF($C$5:$C$300,"&lt;"&amp;C99)*1000+ROW(),1000000000000)</f>
        <v>1000000000000</v>
      </c>
    </row>
    <row r="100" spans="1:28">
      <c r="A100" s="46"/>
      <c r="B100" s="46"/>
      <c r="C100" s="46"/>
      <c r="D100" s="46"/>
      <c r="E100" s="46"/>
      <c r="F100" s="46"/>
      <c r="G100" s="47"/>
      <c r="H100" s="48"/>
      <c r="I100" s="49"/>
      <c r="J100" s="49"/>
      <c r="AA100">
        <f t="shared" si="1"/>
        <v>5</v>
      </c>
      <c r="AB100">
        <f>IF(AND(A100&lt;&gt;"",K100&lt;&gt;"非表示",IF(タスク一覧!$B$4="すべて",TRUE,B100=タスク一覧!$B$4),IF(タスク一覧!$E$4="すべて",TRUE,C100=タスク一覧!$E$4),IF(タスク一覧!$H$4="すべて",TRUE,IF(タスク一覧!$H$4="完了以外",F100&lt;&gt;"完了",F100=タスク一覧!$H$4))),AA100*1000000+COUNTIF($C$5:$C$300,"&lt;"&amp;C100)*1000+ROW(),1000000000000)</f>
        <v>1000000000000</v>
      </c>
    </row>
    <row r="101" spans="1:28">
      <c r="A101" s="46"/>
      <c r="B101" s="46"/>
      <c r="C101" s="46"/>
      <c r="D101" s="46"/>
      <c r="E101" s="46"/>
      <c r="F101" s="46"/>
      <c r="G101" s="47"/>
      <c r="H101" s="48"/>
      <c r="I101" s="49"/>
      <c r="J101" s="49"/>
      <c r="AA101">
        <f t="shared" si="1"/>
        <v>5</v>
      </c>
      <c r="AB101">
        <f>IF(AND(A101&lt;&gt;"",K101&lt;&gt;"非表示",IF(タスク一覧!$B$4="すべて",TRUE,B101=タスク一覧!$B$4),IF(タスク一覧!$E$4="すべて",TRUE,C101=タスク一覧!$E$4),IF(タスク一覧!$H$4="すべて",TRUE,IF(タスク一覧!$H$4="完了以外",F101&lt;&gt;"完了",F101=タスク一覧!$H$4))),AA101*1000000+COUNTIF($C$5:$C$300,"&lt;"&amp;C101)*1000+ROW(),1000000000000)</f>
        <v>1000000000000</v>
      </c>
    </row>
    <row r="102" spans="1:28">
      <c r="A102" s="46"/>
      <c r="B102" s="46"/>
      <c r="C102" s="46"/>
      <c r="D102" s="46"/>
      <c r="E102" s="46"/>
      <c r="F102" s="46"/>
      <c r="G102" s="47"/>
      <c r="H102" s="48"/>
      <c r="I102" s="49"/>
      <c r="J102" s="49"/>
      <c r="AA102">
        <f t="shared" si="1"/>
        <v>5</v>
      </c>
      <c r="AB102">
        <f>IF(AND(A102&lt;&gt;"",K102&lt;&gt;"非表示",IF(タスク一覧!$B$4="すべて",TRUE,B102=タスク一覧!$B$4),IF(タスク一覧!$E$4="すべて",TRUE,C102=タスク一覧!$E$4),IF(タスク一覧!$H$4="すべて",TRUE,IF(タスク一覧!$H$4="完了以外",F102&lt;&gt;"完了",F102=タスク一覧!$H$4))),AA102*1000000+COUNTIF($C$5:$C$300,"&lt;"&amp;C102)*1000+ROW(),1000000000000)</f>
        <v>1000000000000</v>
      </c>
    </row>
    <row r="103" spans="1:28">
      <c r="A103" s="46"/>
      <c r="B103" s="46"/>
      <c r="C103" s="46"/>
      <c r="D103" s="46"/>
      <c r="E103" s="46"/>
      <c r="F103" s="46"/>
      <c r="G103" s="47"/>
      <c r="H103" s="48"/>
      <c r="I103" s="49"/>
      <c r="J103" s="49"/>
      <c r="AA103">
        <f t="shared" si="1"/>
        <v>5</v>
      </c>
      <c r="AB103">
        <f>IF(AND(A103&lt;&gt;"",K103&lt;&gt;"非表示",IF(タスク一覧!$B$4="すべて",TRUE,B103=タスク一覧!$B$4),IF(タスク一覧!$E$4="すべて",TRUE,C103=タスク一覧!$E$4),IF(タスク一覧!$H$4="すべて",TRUE,IF(タスク一覧!$H$4="完了以外",F103&lt;&gt;"完了",F103=タスク一覧!$H$4))),AA103*1000000+COUNTIF($C$5:$C$300,"&lt;"&amp;C103)*1000+ROW(),1000000000000)</f>
        <v>1000000000000</v>
      </c>
    </row>
    <row r="104" spans="1:28">
      <c r="A104" s="46"/>
      <c r="B104" s="46"/>
      <c r="C104" s="46"/>
      <c r="D104" s="46"/>
      <c r="E104" s="46"/>
      <c r="F104" s="46"/>
      <c r="G104" s="47"/>
      <c r="H104" s="48"/>
      <c r="I104" s="49"/>
      <c r="J104" s="49"/>
      <c r="AA104">
        <f t="shared" si="1"/>
        <v>5</v>
      </c>
      <c r="AB104">
        <f>IF(AND(A104&lt;&gt;"",K104&lt;&gt;"非表示",IF(タスク一覧!$B$4="すべて",TRUE,B104=タスク一覧!$B$4),IF(タスク一覧!$E$4="すべて",TRUE,C104=タスク一覧!$E$4),IF(タスク一覧!$H$4="すべて",TRUE,IF(タスク一覧!$H$4="完了以外",F104&lt;&gt;"完了",F104=タスク一覧!$H$4))),AA104*1000000+COUNTIF($C$5:$C$300,"&lt;"&amp;C104)*1000+ROW(),1000000000000)</f>
        <v>1000000000000</v>
      </c>
    </row>
    <row r="105" spans="1:28">
      <c r="A105" s="46"/>
      <c r="B105" s="46"/>
      <c r="C105" s="46"/>
      <c r="D105" s="46"/>
      <c r="E105" s="46"/>
      <c r="F105" s="46"/>
      <c r="G105" s="47"/>
      <c r="H105" s="48"/>
      <c r="I105" s="49"/>
      <c r="J105" s="49"/>
      <c r="AA105">
        <f t="shared" si="1"/>
        <v>5</v>
      </c>
      <c r="AB105">
        <f>IF(AND(A105&lt;&gt;"",K105&lt;&gt;"非表示",IF(タスク一覧!$B$4="すべて",TRUE,B105=タスク一覧!$B$4),IF(タスク一覧!$E$4="すべて",TRUE,C105=タスク一覧!$E$4),IF(タスク一覧!$H$4="すべて",TRUE,IF(タスク一覧!$H$4="完了以外",F105&lt;&gt;"完了",F105=タスク一覧!$H$4))),AA105*1000000+COUNTIF($C$5:$C$300,"&lt;"&amp;C105)*1000+ROW(),1000000000000)</f>
        <v>1000000000000</v>
      </c>
    </row>
    <row r="106" spans="1:28">
      <c r="A106" s="46"/>
      <c r="B106" s="46"/>
      <c r="C106" s="46"/>
      <c r="D106" s="46"/>
      <c r="E106" s="46"/>
      <c r="F106" s="46"/>
      <c r="G106" s="47"/>
      <c r="H106" s="48"/>
      <c r="I106" s="49"/>
      <c r="J106" s="49"/>
      <c r="AA106">
        <f t="shared" si="1"/>
        <v>5</v>
      </c>
      <c r="AB106">
        <f>IF(AND(A106&lt;&gt;"",K106&lt;&gt;"非表示",IF(タスク一覧!$B$4="すべて",TRUE,B106=タスク一覧!$B$4),IF(タスク一覧!$E$4="すべて",TRUE,C106=タスク一覧!$E$4),IF(タスク一覧!$H$4="すべて",TRUE,IF(タスク一覧!$H$4="完了以外",F106&lt;&gt;"完了",F106=タスク一覧!$H$4))),AA106*1000000+COUNTIF($C$5:$C$300,"&lt;"&amp;C106)*1000+ROW(),1000000000000)</f>
        <v>1000000000000</v>
      </c>
    </row>
    <row r="107" spans="1:28">
      <c r="A107" s="46"/>
      <c r="B107" s="46"/>
      <c r="C107" s="46"/>
      <c r="D107" s="46"/>
      <c r="E107" s="46"/>
      <c r="F107" s="46"/>
      <c r="G107" s="47"/>
      <c r="H107" s="48"/>
      <c r="I107" s="49"/>
      <c r="J107" s="49"/>
      <c r="AA107">
        <f t="shared" si="1"/>
        <v>5</v>
      </c>
      <c r="AB107">
        <f>IF(AND(A107&lt;&gt;"",K107&lt;&gt;"非表示",IF(タスク一覧!$B$4="すべて",TRUE,B107=タスク一覧!$B$4),IF(タスク一覧!$E$4="すべて",TRUE,C107=タスク一覧!$E$4),IF(タスク一覧!$H$4="すべて",TRUE,IF(タスク一覧!$H$4="完了以外",F107&lt;&gt;"完了",F107=タスク一覧!$H$4))),AA107*1000000+COUNTIF($C$5:$C$300,"&lt;"&amp;C107)*1000+ROW(),1000000000000)</f>
        <v>1000000000000</v>
      </c>
    </row>
    <row r="108" spans="1:28">
      <c r="A108" s="46"/>
      <c r="B108" s="46"/>
      <c r="C108" s="46"/>
      <c r="D108" s="46"/>
      <c r="E108" s="46"/>
      <c r="F108" s="46"/>
      <c r="G108" s="47"/>
      <c r="H108" s="48"/>
      <c r="I108" s="49"/>
      <c r="J108" s="49"/>
      <c r="AA108">
        <f t="shared" si="1"/>
        <v>5</v>
      </c>
      <c r="AB108">
        <f>IF(AND(A108&lt;&gt;"",K108&lt;&gt;"非表示",IF(タスク一覧!$B$4="すべて",TRUE,B108=タスク一覧!$B$4),IF(タスク一覧!$E$4="すべて",TRUE,C108=タスク一覧!$E$4),IF(タスク一覧!$H$4="すべて",TRUE,IF(タスク一覧!$H$4="完了以外",F108&lt;&gt;"完了",F108=タスク一覧!$H$4))),AA108*1000000+COUNTIF($C$5:$C$300,"&lt;"&amp;C108)*1000+ROW(),1000000000000)</f>
        <v>1000000000000</v>
      </c>
    </row>
    <row r="109" spans="1:28">
      <c r="A109" s="46"/>
      <c r="B109" s="46"/>
      <c r="C109" s="46"/>
      <c r="D109" s="46"/>
      <c r="E109" s="46"/>
      <c r="F109" s="46"/>
      <c r="G109" s="47"/>
      <c r="H109" s="48"/>
      <c r="I109" s="49"/>
      <c r="J109" s="49"/>
      <c r="AA109">
        <f t="shared" si="1"/>
        <v>5</v>
      </c>
      <c r="AB109">
        <f>IF(AND(A109&lt;&gt;"",K109&lt;&gt;"非表示",IF(タスク一覧!$B$4="すべて",TRUE,B109=タスク一覧!$B$4),IF(タスク一覧!$E$4="すべて",TRUE,C109=タスク一覧!$E$4),IF(タスク一覧!$H$4="すべて",TRUE,IF(タスク一覧!$H$4="完了以外",F109&lt;&gt;"完了",F109=タスク一覧!$H$4))),AA109*1000000+COUNTIF($C$5:$C$300,"&lt;"&amp;C109)*1000+ROW(),1000000000000)</f>
        <v>1000000000000</v>
      </c>
    </row>
    <row r="110" spans="1:28">
      <c r="A110" s="46"/>
      <c r="B110" s="46"/>
      <c r="C110" s="46"/>
      <c r="D110" s="46"/>
      <c r="E110" s="46"/>
      <c r="F110" s="46"/>
      <c r="G110" s="47"/>
      <c r="H110" s="48"/>
      <c r="I110" s="49"/>
      <c r="J110" s="49"/>
      <c r="AA110">
        <f t="shared" si="1"/>
        <v>5</v>
      </c>
      <c r="AB110">
        <f>IF(AND(A110&lt;&gt;"",K110&lt;&gt;"非表示",IF(タスク一覧!$B$4="すべて",TRUE,B110=タスク一覧!$B$4),IF(タスク一覧!$E$4="すべて",TRUE,C110=タスク一覧!$E$4),IF(タスク一覧!$H$4="すべて",TRUE,IF(タスク一覧!$H$4="完了以外",F110&lt;&gt;"完了",F110=タスク一覧!$H$4))),AA110*1000000+COUNTIF($C$5:$C$300,"&lt;"&amp;C110)*1000+ROW(),1000000000000)</f>
        <v>1000000000000</v>
      </c>
    </row>
    <row r="111" spans="1:28">
      <c r="A111" s="46"/>
      <c r="B111" s="46"/>
      <c r="C111" s="46"/>
      <c r="D111" s="46"/>
      <c r="E111" s="46"/>
      <c r="F111" s="46"/>
      <c r="G111" s="47"/>
      <c r="H111" s="48"/>
      <c r="I111" s="49"/>
      <c r="J111" s="49"/>
      <c r="AA111">
        <f t="shared" si="1"/>
        <v>5</v>
      </c>
      <c r="AB111">
        <f>IF(AND(A111&lt;&gt;"",K111&lt;&gt;"非表示",IF(タスク一覧!$B$4="すべて",TRUE,B111=タスク一覧!$B$4),IF(タスク一覧!$E$4="すべて",TRUE,C111=タスク一覧!$E$4),IF(タスク一覧!$H$4="すべて",TRUE,IF(タスク一覧!$H$4="完了以外",F111&lt;&gt;"完了",F111=タスク一覧!$H$4))),AA111*1000000+COUNTIF($C$5:$C$300,"&lt;"&amp;C111)*1000+ROW(),1000000000000)</f>
        <v>1000000000000</v>
      </c>
    </row>
    <row r="112" spans="1:28">
      <c r="A112" s="46"/>
      <c r="B112" s="46"/>
      <c r="C112" s="46"/>
      <c r="D112" s="46"/>
      <c r="E112" s="46"/>
      <c r="F112" s="46"/>
      <c r="G112" s="47"/>
      <c r="H112" s="48"/>
      <c r="I112" s="49"/>
      <c r="J112" s="49"/>
      <c r="AA112">
        <f t="shared" si="1"/>
        <v>5</v>
      </c>
      <c r="AB112">
        <f>IF(AND(A112&lt;&gt;"",K112&lt;&gt;"非表示",IF(タスク一覧!$B$4="すべて",TRUE,B112=タスク一覧!$B$4),IF(タスク一覧!$E$4="すべて",TRUE,C112=タスク一覧!$E$4),IF(タスク一覧!$H$4="すべて",TRUE,IF(タスク一覧!$H$4="完了以外",F112&lt;&gt;"完了",F112=タスク一覧!$H$4))),AA112*1000000+COUNTIF($C$5:$C$300,"&lt;"&amp;C112)*1000+ROW(),1000000000000)</f>
        <v>1000000000000</v>
      </c>
    </row>
    <row r="113" spans="1:28">
      <c r="A113" s="46"/>
      <c r="B113" s="46"/>
      <c r="C113" s="46"/>
      <c r="D113" s="46"/>
      <c r="E113" s="46"/>
      <c r="F113" s="46"/>
      <c r="G113" s="47"/>
      <c r="H113" s="48"/>
      <c r="I113" s="49"/>
      <c r="J113" s="49"/>
      <c r="AA113">
        <f t="shared" si="1"/>
        <v>5</v>
      </c>
      <c r="AB113">
        <f>IF(AND(A113&lt;&gt;"",K113&lt;&gt;"非表示",IF(タスク一覧!$B$4="すべて",TRUE,B113=タスク一覧!$B$4),IF(タスク一覧!$E$4="すべて",TRUE,C113=タスク一覧!$E$4),IF(タスク一覧!$H$4="すべて",TRUE,IF(タスク一覧!$H$4="完了以外",F113&lt;&gt;"完了",F113=タスク一覧!$H$4))),AA113*1000000+COUNTIF($C$5:$C$300,"&lt;"&amp;C113)*1000+ROW(),1000000000000)</f>
        <v>1000000000000</v>
      </c>
    </row>
    <row r="114" spans="1:28">
      <c r="A114" s="46"/>
      <c r="B114" s="46"/>
      <c r="C114" s="46"/>
      <c r="D114" s="46"/>
      <c r="E114" s="46"/>
      <c r="F114" s="46"/>
      <c r="G114" s="47"/>
      <c r="H114" s="48"/>
      <c r="I114" s="49"/>
      <c r="J114" s="49"/>
      <c r="AA114">
        <f t="shared" si="1"/>
        <v>5</v>
      </c>
      <c r="AB114">
        <f>IF(AND(A114&lt;&gt;"",K114&lt;&gt;"非表示",IF(タスク一覧!$B$4="すべて",TRUE,B114=タスク一覧!$B$4),IF(タスク一覧!$E$4="すべて",TRUE,C114=タスク一覧!$E$4),IF(タスク一覧!$H$4="すべて",TRUE,IF(タスク一覧!$H$4="完了以外",F114&lt;&gt;"完了",F114=タスク一覧!$H$4))),AA114*1000000+COUNTIF($C$5:$C$300,"&lt;"&amp;C114)*1000+ROW(),1000000000000)</f>
        <v>1000000000000</v>
      </c>
    </row>
    <row r="115" spans="1:28">
      <c r="A115" s="46"/>
      <c r="B115" s="46"/>
      <c r="C115" s="46"/>
      <c r="D115" s="46"/>
      <c r="E115" s="46"/>
      <c r="F115" s="46"/>
      <c r="G115" s="47"/>
      <c r="H115" s="48"/>
      <c r="I115" s="49"/>
      <c r="J115" s="49"/>
      <c r="AA115">
        <f t="shared" si="1"/>
        <v>5</v>
      </c>
      <c r="AB115">
        <f>IF(AND(A115&lt;&gt;"",K115&lt;&gt;"非表示",IF(タスク一覧!$B$4="すべて",TRUE,B115=タスク一覧!$B$4),IF(タスク一覧!$E$4="すべて",TRUE,C115=タスク一覧!$E$4),IF(タスク一覧!$H$4="すべて",TRUE,IF(タスク一覧!$H$4="完了以外",F115&lt;&gt;"完了",F115=タスク一覧!$H$4))),AA115*1000000+COUNTIF($C$5:$C$300,"&lt;"&amp;C115)*1000+ROW(),1000000000000)</f>
        <v>1000000000000</v>
      </c>
    </row>
    <row r="116" spans="1:28">
      <c r="A116" s="46"/>
      <c r="B116" s="46"/>
      <c r="C116" s="46"/>
      <c r="D116" s="46"/>
      <c r="E116" s="46"/>
      <c r="F116" s="46"/>
      <c r="G116" s="47"/>
      <c r="H116" s="48"/>
      <c r="I116" s="49"/>
      <c r="J116" s="49"/>
      <c r="AA116">
        <f t="shared" si="1"/>
        <v>5</v>
      </c>
      <c r="AB116">
        <f>IF(AND(A116&lt;&gt;"",K116&lt;&gt;"非表示",IF(タスク一覧!$B$4="すべて",TRUE,B116=タスク一覧!$B$4),IF(タスク一覧!$E$4="すべて",TRUE,C116=タスク一覧!$E$4),IF(タスク一覧!$H$4="すべて",TRUE,IF(タスク一覧!$H$4="完了以外",F116&lt;&gt;"完了",F116=タスク一覧!$H$4))),AA116*1000000+COUNTIF($C$5:$C$300,"&lt;"&amp;C116)*1000+ROW(),1000000000000)</f>
        <v>1000000000000</v>
      </c>
    </row>
    <row r="117" spans="1:28">
      <c r="A117" s="46"/>
      <c r="B117" s="46"/>
      <c r="C117" s="46"/>
      <c r="D117" s="46"/>
      <c r="E117" s="46"/>
      <c r="F117" s="46"/>
      <c r="G117" s="47"/>
      <c r="H117" s="48"/>
      <c r="I117" s="49"/>
      <c r="J117" s="49"/>
      <c r="AA117">
        <f t="shared" si="1"/>
        <v>5</v>
      </c>
      <c r="AB117">
        <f>IF(AND(A117&lt;&gt;"",K117&lt;&gt;"非表示",IF(タスク一覧!$B$4="すべて",TRUE,B117=タスク一覧!$B$4),IF(タスク一覧!$E$4="すべて",TRUE,C117=タスク一覧!$E$4),IF(タスク一覧!$H$4="すべて",TRUE,IF(タスク一覧!$H$4="完了以外",F117&lt;&gt;"完了",F117=タスク一覧!$H$4))),AA117*1000000+COUNTIF($C$5:$C$300,"&lt;"&amp;C117)*1000+ROW(),1000000000000)</f>
        <v>1000000000000</v>
      </c>
    </row>
    <row r="118" spans="1:28">
      <c r="A118" s="46"/>
      <c r="B118" s="46"/>
      <c r="C118" s="46"/>
      <c r="D118" s="46"/>
      <c r="E118" s="46"/>
      <c r="F118" s="46"/>
      <c r="G118" s="47"/>
      <c r="H118" s="48"/>
      <c r="I118" s="49"/>
      <c r="J118" s="49"/>
      <c r="AA118">
        <f t="shared" si="1"/>
        <v>5</v>
      </c>
      <c r="AB118">
        <f>IF(AND(A118&lt;&gt;"",K118&lt;&gt;"非表示",IF(タスク一覧!$B$4="すべて",TRUE,B118=タスク一覧!$B$4),IF(タスク一覧!$E$4="すべて",TRUE,C118=タスク一覧!$E$4),IF(タスク一覧!$H$4="すべて",TRUE,IF(タスク一覧!$H$4="完了以外",F118&lt;&gt;"完了",F118=タスク一覧!$H$4))),AA118*1000000+COUNTIF($C$5:$C$300,"&lt;"&amp;C118)*1000+ROW(),1000000000000)</f>
        <v>1000000000000</v>
      </c>
    </row>
    <row r="119" spans="1:28">
      <c r="A119" s="46"/>
      <c r="B119" s="46"/>
      <c r="C119" s="46"/>
      <c r="D119" s="46"/>
      <c r="E119" s="46"/>
      <c r="F119" s="46"/>
      <c r="G119" s="47"/>
      <c r="H119" s="48"/>
      <c r="I119" s="49"/>
      <c r="J119" s="49"/>
      <c r="AA119">
        <f t="shared" si="1"/>
        <v>5</v>
      </c>
      <c r="AB119">
        <f>IF(AND(A119&lt;&gt;"",K119&lt;&gt;"非表示",IF(タスク一覧!$B$4="すべて",TRUE,B119=タスク一覧!$B$4),IF(タスク一覧!$E$4="すべて",TRUE,C119=タスク一覧!$E$4),IF(タスク一覧!$H$4="すべて",TRUE,IF(タスク一覧!$H$4="完了以外",F119&lt;&gt;"完了",F119=タスク一覧!$H$4))),AA119*1000000+COUNTIF($C$5:$C$300,"&lt;"&amp;C119)*1000+ROW(),1000000000000)</f>
        <v>1000000000000</v>
      </c>
    </row>
    <row r="120" spans="1:28">
      <c r="A120" s="46"/>
      <c r="B120" s="46"/>
      <c r="C120" s="46"/>
      <c r="D120" s="46"/>
      <c r="E120" s="46"/>
      <c r="F120" s="46"/>
      <c r="G120" s="47"/>
      <c r="H120" s="48"/>
      <c r="I120" s="49"/>
      <c r="J120" s="49"/>
      <c r="AA120">
        <f t="shared" si="1"/>
        <v>5</v>
      </c>
      <c r="AB120">
        <f>IF(AND(A120&lt;&gt;"",K120&lt;&gt;"非表示",IF(タスク一覧!$B$4="すべて",TRUE,B120=タスク一覧!$B$4),IF(タスク一覧!$E$4="すべて",TRUE,C120=タスク一覧!$E$4),IF(タスク一覧!$H$4="すべて",TRUE,IF(タスク一覧!$H$4="完了以外",F120&lt;&gt;"完了",F120=タスク一覧!$H$4))),AA120*1000000+COUNTIF($C$5:$C$300,"&lt;"&amp;C120)*1000+ROW(),1000000000000)</f>
        <v>1000000000000</v>
      </c>
    </row>
    <row r="121" spans="1:28">
      <c r="A121" s="46"/>
      <c r="B121" s="46"/>
      <c r="C121" s="46"/>
      <c r="D121" s="46"/>
      <c r="E121" s="46"/>
      <c r="F121" s="46"/>
      <c r="G121" s="47"/>
      <c r="H121" s="48"/>
      <c r="I121" s="49"/>
      <c r="J121" s="49"/>
      <c r="AA121">
        <f t="shared" si="1"/>
        <v>5</v>
      </c>
      <c r="AB121">
        <f>IF(AND(A121&lt;&gt;"",K121&lt;&gt;"非表示",IF(タスク一覧!$B$4="すべて",TRUE,B121=タスク一覧!$B$4),IF(タスク一覧!$E$4="すべて",TRUE,C121=タスク一覧!$E$4),IF(タスク一覧!$H$4="すべて",TRUE,IF(タスク一覧!$H$4="完了以外",F121&lt;&gt;"完了",F121=タスク一覧!$H$4))),AA121*1000000+COUNTIF($C$5:$C$300,"&lt;"&amp;C121)*1000+ROW(),1000000000000)</f>
        <v>1000000000000</v>
      </c>
    </row>
    <row r="122" spans="1:28">
      <c r="A122" s="46"/>
      <c r="B122" s="46"/>
      <c r="C122" s="46"/>
      <c r="D122" s="46"/>
      <c r="E122" s="46"/>
      <c r="F122" s="46"/>
      <c r="G122" s="47"/>
      <c r="H122" s="48"/>
      <c r="I122" s="49"/>
      <c r="J122" s="49"/>
      <c r="AA122">
        <f t="shared" si="1"/>
        <v>5</v>
      </c>
      <c r="AB122">
        <f>IF(AND(A122&lt;&gt;"",K122&lt;&gt;"非表示",IF(タスク一覧!$B$4="すべて",TRUE,B122=タスク一覧!$B$4),IF(タスク一覧!$E$4="すべて",TRUE,C122=タスク一覧!$E$4),IF(タスク一覧!$H$4="すべて",TRUE,IF(タスク一覧!$H$4="完了以外",F122&lt;&gt;"完了",F122=タスク一覧!$H$4))),AA122*1000000+COUNTIF($C$5:$C$300,"&lt;"&amp;C122)*1000+ROW(),1000000000000)</f>
        <v>1000000000000</v>
      </c>
    </row>
    <row r="123" spans="1:28">
      <c r="A123" s="46"/>
      <c r="B123" s="46"/>
      <c r="C123" s="46"/>
      <c r="D123" s="46"/>
      <c r="E123" s="46"/>
      <c r="F123" s="46"/>
      <c r="G123" s="47"/>
      <c r="H123" s="48"/>
      <c r="I123" s="49"/>
      <c r="J123" s="49"/>
      <c r="AA123">
        <f t="shared" si="1"/>
        <v>5</v>
      </c>
      <c r="AB123">
        <f>IF(AND(A123&lt;&gt;"",K123&lt;&gt;"非表示",IF(タスク一覧!$B$4="すべて",TRUE,B123=タスク一覧!$B$4),IF(タスク一覧!$E$4="すべて",TRUE,C123=タスク一覧!$E$4),IF(タスク一覧!$H$4="すべて",TRUE,IF(タスク一覧!$H$4="完了以外",F123&lt;&gt;"完了",F123=タスク一覧!$H$4))),AA123*1000000+COUNTIF($C$5:$C$300,"&lt;"&amp;C123)*1000+ROW(),1000000000000)</f>
        <v>1000000000000</v>
      </c>
    </row>
    <row r="124" spans="1:28">
      <c r="A124" s="46"/>
      <c r="B124" s="46"/>
      <c r="C124" s="46"/>
      <c r="D124" s="46"/>
      <c r="E124" s="46"/>
      <c r="F124" s="46"/>
      <c r="G124" s="47"/>
      <c r="H124" s="48"/>
      <c r="I124" s="49"/>
      <c r="J124" s="49"/>
      <c r="AA124">
        <f t="shared" si="1"/>
        <v>5</v>
      </c>
      <c r="AB124">
        <f>IF(AND(A124&lt;&gt;"",K124&lt;&gt;"非表示",IF(タスク一覧!$B$4="すべて",TRUE,B124=タスク一覧!$B$4),IF(タスク一覧!$E$4="すべて",TRUE,C124=タスク一覧!$E$4),IF(タスク一覧!$H$4="すべて",TRUE,IF(タスク一覧!$H$4="完了以外",F124&lt;&gt;"完了",F124=タスク一覧!$H$4))),AA124*1000000+COUNTIF($C$5:$C$300,"&lt;"&amp;C124)*1000+ROW(),1000000000000)</f>
        <v>1000000000000</v>
      </c>
    </row>
    <row r="125" spans="1:28">
      <c r="A125" s="46"/>
      <c r="B125" s="46"/>
      <c r="C125" s="46"/>
      <c r="D125" s="46"/>
      <c r="E125" s="46"/>
      <c r="F125" s="46"/>
      <c r="G125" s="47"/>
      <c r="H125" s="48"/>
      <c r="I125" s="49"/>
      <c r="J125" s="49"/>
      <c r="AA125">
        <f t="shared" si="1"/>
        <v>5</v>
      </c>
      <c r="AB125">
        <f>IF(AND(A125&lt;&gt;"",K125&lt;&gt;"非表示",IF(タスク一覧!$B$4="すべて",TRUE,B125=タスク一覧!$B$4),IF(タスク一覧!$E$4="すべて",TRUE,C125=タスク一覧!$E$4),IF(タスク一覧!$H$4="すべて",TRUE,IF(タスク一覧!$H$4="完了以外",F125&lt;&gt;"完了",F125=タスク一覧!$H$4))),AA125*1000000+COUNTIF($C$5:$C$300,"&lt;"&amp;C125)*1000+ROW(),1000000000000)</f>
        <v>1000000000000</v>
      </c>
    </row>
    <row r="126" spans="1:28">
      <c r="A126" s="46"/>
      <c r="B126" s="46"/>
      <c r="C126" s="46"/>
      <c r="D126" s="46"/>
      <c r="E126" s="46"/>
      <c r="F126" s="46"/>
      <c r="G126" s="47"/>
      <c r="H126" s="48"/>
      <c r="I126" s="49"/>
      <c r="J126" s="49"/>
      <c r="AA126">
        <f t="shared" si="1"/>
        <v>5</v>
      </c>
      <c r="AB126">
        <f>IF(AND(A126&lt;&gt;"",K126&lt;&gt;"非表示",IF(タスク一覧!$B$4="すべて",TRUE,B126=タスク一覧!$B$4),IF(タスク一覧!$E$4="すべて",TRUE,C126=タスク一覧!$E$4),IF(タスク一覧!$H$4="すべて",TRUE,IF(タスク一覧!$H$4="完了以外",F126&lt;&gt;"完了",F126=タスク一覧!$H$4))),AA126*1000000+COUNTIF($C$5:$C$300,"&lt;"&amp;C126)*1000+ROW(),1000000000000)</f>
        <v>1000000000000</v>
      </c>
    </row>
    <row r="127" spans="1:28">
      <c r="A127" s="46"/>
      <c r="B127" s="46"/>
      <c r="C127" s="46"/>
      <c r="D127" s="46"/>
      <c r="E127" s="46"/>
      <c r="F127" s="46"/>
      <c r="G127" s="47"/>
      <c r="H127" s="48"/>
      <c r="I127" s="49"/>
      <c r="J127" s="49"/>
      <c r="AA127">
        <f t="shared" si="1"/>
        <v>5</v>
      </c>
      <c r="AB127">
        <f>IF(AND(A127&lt;&gt;"",K127&lt;&gt;"非表示",IF(タスク一覧!$B$4="すべて",TRUE,B127=タスク一覧!$B$4),IF(タスク一覧!$E$4="すべて",TRUE,C127=タスク一覧!$E$4),IF(タスク一覧!$H$4="すべて",TRUE,IF(タスク一覧!$H$4="完了以外",F127&lt;&gt;"完了",F127=タスク一覧!$H$4))),AA127*1000000+COUNTIF($C$5:$C$300,"&lt;"&amp;C127)*1000+ROW(),1000000000000)</f>
        <v>1000000000000</v>
      </c>
    </row>
    <row r="128" spans="1:28">
      <c r="A128" s="46"/>
      <c r="B128" s="46"/>
      <c r="C128" s="46"/>
      <c r="D128" s="46"/>
      <c r="E128" s="46"/>
      <c r="F128" s="46"/>
      <c r="G128" s="47"/>
      <c r="H128" s="48"/>
      <c r="I128" s="49"/>
      <c r="J128" s="49"/>
      <c r="AA128">
        <f t="shared" si="1"/>
        <v>5</v>
      </c>
      <c r="AB128">
        <f>IF(AND(A128&lt;&gt;"",K128&lt;&gt;"非表示",IF(タスク一覧!$B$4="すべて",TRUE,B128=タスク一覧!$B$4),IF(タスク一覧!$E$4="すべて",TRUE,C128=タスク一覧!$E$4),IF(タスク一覧!$H$4="すべて",TRUE,IF(タスク一覧!$H$4="完了以外",F128&lt;&gt;"完了",F128=タスク一覧!$H$4))),AA128*1000000+COUNTIF($C$5:$C$300,"&lt;"&amp;C128)*1000+ROW(),1000000000000)</f>
        <v>1000000000000</v>
      </c>
    </row>
    <row r="129" spans="1:28">
      <c r="A129" s="46"/>
      <c r="B129" s="46"/>
      <c r="C129" s="46"/>
      <c r="D129" s="46"/>
      <c r="E129" s="46"/>
      <c r="F129" s="46"/>
      <c r="G129" s="47"/>
      <c r="H129" s="48"/>
      <c r="I129" s="49"/>
      <c r="J129" s="49"/>
      <c r="AA129">
        <f t="shared" si="1"/>
        <v>5</v>
      </c>
      <c r="AB129">
        <f>IF(AND(A129&lt;&gt;"",K129&lt;&gt;"非表示",IF(タスク一覧!$B$4="すべて",TRUE,B129=タスク一覧!$B$4),IF(タスク一覧!$E$4="すべて",TRUE,C129=タスク一覧!$E$4),IF(タスク一覧!$H$4="すべて",TRUE,IF(タスク一覧!$H$4="完了以外",F129&lt;&gt;"完了",F129=タスク一覧!$H$4))),AA129*1000000+COUNTIF($C$5:$C$300,"&lt;"&amp;C129)*1000+ROW(),1000000000000)</f>
        <v>1000000000000</v>
      </c>
    </row>
    <row r="130" spans="1:28">
      <c r="A130" s="46"/>
      <c r="B130" s="46"/>
      <c r="C130" s="46"/>
      <c r="D130" s="46"/>
      <c r="E130" s="46"/>
      <c r="F130" s="46"/>
      <c r="G130" s="47"/>
      <c r="H130" s="48"/>
      <c r="I130" s="49"/>
      <c r="J130" s="49"/>
      <c r="AA130">
        <f t="shared" si="1"/>
        <v>5</v>
      </c>
      <c r="AB130">
        <f>IF(AND(A130&lt;&gt;"",K130&lt;&gt;"非表示",IF(タスク一覧!$B$4="すべて",TRUE,B130=タスク一覧!$B$4),IF(タスク一覧!$E$4="すべて",TRUE,C130=タスク一覧!$E$4),IF(タスク一覧!$H$4="すべて",TRUE,IF(タスク一覧!$H$4="完了以外",F130&lt;&gt;"完了",F130=タスク一覧!$H$4))),AA130*1000000+COUNTIF($C$5:$C$300,"&lt;"&amp;C130)*1000+ROW(),1000000000000)</f>
        <v>1000000000000</v>
      </c>
    </row>
    <row r="131" spans="1:28">
      <c r="A131" s="46"/>
      <c r="B131" s="46"/>
      <c r="C131" s="46"/>
      <c r="D131" s="46"/>
      <c r="E131" s="46"/>
      <c r="F131" s="46"/>
      <c r="G131" s="47"/>
      <c r="H131" s="48"/>
      <c r="I131" s="49"/>
      <c r="J131" s="49"/>
      <c r="AA131">
        <f t="shared" si="1"/>
        <v>5</v>
      </c>
      <c r="AB131">
        <f>IF(AND(A131&lt;&gt;"",K131&lt;&gt;"非表示",IF(タスク一覧!$B$4="すべて",TRUE,B131=タスク一覧!$B$4),IF(タスク一覧!$E$4="すべて",TRUE,C131=タスク一覧!$E$4),IF(タスク一覧!$H$4="すべて",TRUE,IF(タスク一覧!$H$4="完了以外",F131&lt;&gt;"完了",F131=タスク一覧!$H$4))),AA131*1000000+COUNTIF($C$5:$C$300,"&lt;"&amp;C131)*1000+ROW(),1000000000000)</f>
        <v>1000000000000</v>
      </c>
    </row>
    <row r="132" spans="1:28">
      <c r="A132" s="46"/>
      <c r="B132" s="46"/>
      <c r="C132" s="46"/>
      <c r="D132" s="46"/>
      <c r="E132" s="46"/>
      <c r="F132" s="46"/>
      <c r="G132" s="47"/>
      <c r="H132" s="48"/>
      <c r="I132" s="49"/>
      <c r="J132" s="49"/>
      <c r="AA132">
        <f t="shared" si="1"/>
        <v>5</v>
      </c>
      <c r="AB132">
        <f>IF(AND(A132&lt;&gt;"",K132&lt;&gt;"非表示",IF(タスク一覧!$B$4="すべて",TRUE,B132=タスク一覧!$B$4),IF(タスク一覧!$E$4="すべて",TRUE,C132=タスク一覧!$E$4),IF(タスク一覧!$H$4="すべて",TRUE,IF(タスク一覧!$H$4="完了以外",F132&lt;&gt;"完了",F132=タスク一覧!$H$4))),AA132*1000000+COUNTIF($C$5:$C$300,"&lt;"&amp;C132)*1000+ROW(),1000000000000)</f>
        <v>1000000000000</v>
      </c>
    </row>
    <row r="133" spans="1:28">
      <c r="A133" s="46"/>
      <c r="B133" s="46"/>
      <c r="C133" s="46"/>
      <c r="D133" s="46"/>
      <c r="E133" s="46"/>
      <c r="F133" s="46"/>
      <c r="G133" s="47"/>
      <c r="H133" s="48"/>
      <c r="I133" s="49"/>
      <c r="J133" s="49"/>
      <c r="AA133">
        <f t="shared" ref="AA133:AA196" si="2">IF(B133="プロト",1,IF(B133="アルファ",2,IF(B133="ベータ",3,IF(B133="マスター",4,5))))</f>
        <v>5</v>
      </c>
      <c r="AB133">
        <f>IF(AND(A133&lt;&gt;"",K133&lt;&gt;"非表示",IF(タスク一覧!$B$4="すべて",TRUE,B133=タスク一覧!$B$4),IF(タスク一覧!$E$4="すべて",TRUE,C133=タスク一覧!$E$4),IF(タスク一覧!$H$4="すべて",TRUE,IF(タスク一覧!$H$4="完了以外",F133&lt;&gt;"完了",F133=タスク一覧!$H$4))),AA133*1000000+COUNTIF($C$5:$C$300,"&lt;"&amp;C133)*1000+ROW(),1000000000000)</f>
        <v>1000000000000</v>
      </c>
    </row>
    <row r="134" spans="1:28">
      <c r="A134" s="46"/>
      <c r="B134" s="46"/>
      <c r="C134" s="46"/>
      <c r="D134" s="46"/>
      <c r="E134" s="46"/>
      <c r="F134" s="46"/>
      <c r="G134" s="47"/>
      <c r="H134" s="48"/>
      <c r="I134" s="49"/>
      <c r="J134" s="49"/>
      <c r="AA134">
        <f t="shared" si="2"/>
        <v>5</v>
      </c>
      <c r="AB134">
        <f>IF(AND(A134&lt;&gt;"",K134&lt;&gt;"非表示",IF(タスク一覧!$B$4="すべて",TRUE,B134=タスク一覧!$B$4),IF(タスク一覧!$E$4="すべて",TRUE,C134=タスク一覧!$E$4),IF(タスク一覧!$H$4="すべて",TRUE,IF(タスク一覧!$H$4="完了以外",F134&lt;&gt;"完了",F134=タスク一覧!$H$4))),AA134*1000000+COUNTIF($C$5:$C$300,"&lt;"&amp;C134)*1000+ROW(),1000000000000)</f>
        <v>1000000000000</v>
      </c>
    </row>
    <row r="135" spans="1:28">
      <c r="A135" s="46"/>
      <c r="B135" s="46"/>
      <c r="C135" s="46"/>
      <c r="D135" s="46"/>
      <c r="E135" s="46"/>
      <c r="F135" s="46"/>
      <c r="G135" s="47"/>
      <c r="H135" s="48"/>
      <c r="I135" s="49"/>
      <c r="J135" s="49"/>
      <c r="AA135">
        <f t="shared" si="2"/>
        <v>5</v>
      </c>
      <c r="AB135">
        <f>IF(AND(A135&lt;&gt;"",K135&lt;&gt;"非表示",IF(タスク一覧!$B$4="すべて",TRUE,B135=タスク一覧!$B$4),IF(タスク一覧!$E$4="すべて",TRUE,C135=タスク一覧!$E$4),IF(タスク一覧!$H$4="すべて",TRUE,IF(タスク一覧!$H$4="完了以外",F135&lt;&gt;"完了",F135=タスク一覧!$H$4))),AA135*1000000+COUNTIF($C$5:$C$300,"&lt;"&amp;C135)*1000+ROW(),1000000000000)</f>
        <v>1000000000000</v>
      </c>
    </row>
    <row r="136" spans="1:28">
      <c r="A136" s="46"/>
      <c r="B136" s="46"/>
      <c r="C136" s="46"/>
      <c r="D136" s="46"/>
      <c r="E136" s="46"/>
      <c r="F136" s="46"/>
      <c r="G136" s="47"/>
      <c r="H136" s="48"/>
      <c r="I136" s="49"/>
      <c r="J136" s="49"/>
      <c r="AA136">
        <f t="shared" si="2"/>
        <v>5</v>
      </c>
      <c r="AB136">
        <f>IF(AND(A136&lt;&gt;"",K136&lt;&gt;"非表示",IF(タスク一覧!$B$4="すべて",TRUE,B136=タスク一覧!$B$4),IF(タスク一覧!$E$4="すべて",TRUE,C136=タスク一覧!$E$4),IF(タスク一覧!$H$4="すべて",TRUE,IF(タスク一覧!$H$4="完了以外",F136&lt;&gt;"完了",F136=タスク一覧!$H$4))),AA136*1000000+COUNTIF($C$5:$C$300,"&lt;"&amp;C136)*1000+ROW(),1000000000000)</f>
        <v>1000000000000</v>
      </c>
    </row>
    <row r="137" spans="1:28">
      <c r="A137" s="46"/>
      <c r="B137" s="46"/>
      <c r="C137" s="46"/>
      <c r="D137" s="46"/>
      <c r="E137" s="46"/>
      <c r="F137" s="46"/>
      <c r="G137" s="47"/>
      <c r="H137" s="48"/>
      <c r="I137" s="49"/>
      <c r="J137" s="49"/>
      <c r="AA137">
        <f t="shared" si="2"/>
        <v>5</v>
      </c>
      <c r="AB137">
        <f>IF(AND(A137&lt;&gt;"",K137&lt;&gt;"非表示",IF(タスク一覧!$B$4="すべて",TRUE,B137=タスク一覧!$B$4),IF(タスク一覧!$E$4="すべて",TRUE,C137=タスク一覧!$E$4),IF(タスク一覧!$H$4="すべて",TRUE,IF(タスク一覧!$H$4="完了以外",F137&lt;&gt;"完了",F137=タスク一覧!$H$4))),AA137*1000000+COUNTIF($C$5:$C$300,"&lt;"&amp;C137)*1000+ROW(),1000000000000)</f>
        <v>1000000000000</v>
      </c>
    </row>
    <row r="138" spans="1:28">
      <c r="A138" s="46"/>
      <c r="B138" s="46"/>
      <c r="C138" s="46"/>
      <c r="D138" s="46"/>
      <c r="E138" s="46"/>
      <c r="F138" s="46"/>
      <c r="G138" s="47"/>
      <c r="H138" s="48"/>
      <c r="I138" s="49"/>
      <c r="J138" s="49"/>
      <c r="AA138">
        <f t="shared" si="2"/>
        <v>5</v>
      </c>
      <c r="AB138">
        <f>IF(AND(A138&lt;&gt;"",K138&lt;&gt;"非表示",IF(タスク一覧!$B$4="すべて",TRUE,B138=タスク一覧!$B$4),IF(タスク一覧!$E$4="すべて",TRUE,C138=タスク一覧!$E$4),IF(タスク一覧!$H$4="すべて",TRUE,IF(タスク一覧!$H$4="完了以外",F138&lt;&gt;"完了",F138=タスク一覧!$H$4))),AA138*1000000+COUNTIF($C$5:$C$300,"&lt;"&amp;C138)*1000+ROW(),1000000000000)</f>
        <v>1000000000000</v>
      </c>
    </row>
    <row r="139" spans="1:28">
      <c r="A139" s="46"/>
      <c r="B139" s="46"/>
      <c r="C139" s="46"/>
      <c r="D139" s="46"/>
      <c r="E139" s="46"/>
      <c r="F139" s="46"/>
      <c r="G139" s="47"/>
      <c r="H139" s="48"/>
      <c r="I139" s="49"/>
      <c r="J139" s="49"/>
      <c r="AA139">
        <f t="shared" si="2"/>
        <v>5</v>
      </c>
      <c r="AB139">
        <f>IF(AND(A139&lt;&gt;"",K139&lt;&gt;"非表示",IF(タスク一覧!$B$4="すべて",TRUE,B139=タスク一覧!$B$4),IF(タスク一覧!$E$4="すべて",TRUE,C139=タスク一覧!$E$4),IF(タスク一覧!$H$4="すべて",TRUE,IF(タスク一覧!$H$4="完了以外",F139&lt;&gt;"完了",F139=タスク一覧!$H$4))),AA139*1000000+COUNTIF($C$5:$C$300,"&lt;"&amp;C139)*1000+ROW(),1000000000000)</f>
        <v>1000000000000</v>
      </c>
    </row>
    <row r="140" spans="1:28">
      <c r="A140" s="46"/>
      <c r="B140" s="46"/>
      <c r="C140" s="46"/>
      <c r="D140" s="46"/>
      <c r="E140" s="46"/>
      <c r="F140" s="46"/>
      <c r="G140" s="47"/>
      <c r="H140" s="48"/>
      <c r="I140" s="49"/>
      <c r="J140" s="49"/>
      <c r="AA140">
        <f t="shared" si="2"/>
        <v>5</v>
      </c>
      <c r="AB140">
        <f>IF(AND(A140&lt;&gt;"",K140&lt;&gt;"非表示",IF(タスク一覧!$B$4="すべて",TRUE,B140=タスク一覧!$B$4),IF(タスク一覧!$E$4="すべて",TRUE,C140=タスク一覧!$E$4),IF(タスク一覧!$H$4="すべて",TRUE,IF(タスク一覧!$H$4="完了以外",F140&lt;&gt;"完了",F140=タスク一覧!$H$4))),AA140*1000000+COUNTIF($C$5:$C$300,"&lt;"&amp;C140)*1000+ROW(),1000000000000)</f>
        <v>1000000000000</v>
      </c>
    </row>
    <row r="141" spans="1:28">
      <c r="A141" s="46"/>
      <c r="B141" s="46"/>
      <c r="C141" s="46"/>
      <c r="D141" s="46"/>
      <c r="E141" s="46"/>
      <c r="F141" s="46"/>
      <c r="G141" s="47"/>
      <c r="H141" s="48"/>
      <c r="I141" s="49"/>
      <c r="J141" s="49"/>
      <c r="AA141">
        <f t="shared" si="2"/>
        <v>5</v>
      </c>
      <c r="AB141">
        <f>IF(AND(A141&lt;&gt;"",K141&lt;&gt;"非表示",IF(タスク一覧!$B$4="すべて",TRUE,B141=タスク一覧!$B$4),IF(タスク一覧!$E$4="すべて",TRUE,C141=タスク一覧!$E$4),IF(タスク一覧!$H$4="すべて",TRUE,IF(タスク一覧!$H$4="完了以外",F141&lt;&gt;"完了",F141=タスク一覧!$H$4))),AA141*1000000+COUNTIF($C$5:$C$300,"&lt;"&amp;C141)*1000+ROW(),1000000000000)</f>
        <v>1000000000000</v>
      </c>
    </row>
    <row r="142" spans="1:28">
      <c r="A142" s="46"/>
      <c r="B142" s="46"/>
      <c r="C142" s="46"/>
      <c r="D142" s="46"/>
      <c r="E142" s="46"/>
      <c r="F142" s="46"/>
      <c r="G142" s="47"/>
      <c r="H142" s="48"/>
      <c r="I142" s="49"/>
      <c r="J142" s="49"/>
      <c r="AA142">
        <f t="shared" si="2"/>
        <v>5</v>
      </c>
      <c r="AB142">
        <f>IF(AND(A142&lt;&gt;"",K142&lt;&gt;"非表示",IF(タスク一覧!$B$4="すべて",TRUE,B142=タスク一覧!$B$4),IF(タスク一覧!$E$4="すべて",TRUE,C142=タスク一覧!$E$4),IF(タスク一覧!$H$4="すべて",TRUE,IF(タスク一覧!$H$4="完了以外",F142&lt;&gt;"完了",F142=タスク一覧!$H$4))),AA142*1000000+COUNTIF($C$5:$C$300,"&lt;"&amp;C142)*1000+ROW(),1000000000000)</f>
        <v>1000000000000</v>
      </c>
    </row>
    <row r="143" spans="1:28">
      <c r="A143" s="46"/>
      <c r="B143" s="46"/>
      <c r="C143" s="46"/>
      <c r="D143" s="46"/>
      <c r="E143" s="46"/>
      <c r="F143" s="46"/>
      <c r="G143" s="47"/>
      <c r="H143" s="48"/>
      <c r="I143" s="49"/>
      <c r="J143" s="49"/>
      <c r="AA143">
        <f t="shared" si="2"/>
        <v>5</v>
      </c>
      <c r="AB143">
        <f>IF(AND(A143&lt;&gt;"",K143&lt;&gt;"非表示",IF(タスク一覧!$B$4="すべて",TRUE,B143=タスク一覧!$B$4),IF(タスク一覧!$E$4="すべて",TRUE,C143=タスク一覧!$E$4),IF(タスク一覧!$H$4="すべて",TRUE,IF(タスク一覧!$H$4="完了以外",F143&lt;&gt;"完了",F143=タスク一覧!$H$4))),AA143*1000000+COUNTIF($C$5:$C$300,"&lt;"&amp;C143)*1000+ROW(),1000000000000)</f>
        <v>1000000000000</v>
      </c>
    </row>
    <row r="144" spans="1:28">
      <c r="A144" s="46"/>
      <c r="B144" s="46"/>
      <c r="C144" s="46"/>
      <c r="D144" s="46"/>
      <c r="E144" s="46"/>
      <c r="F144" s="46"/>
      <c r="G144" s="47"/>
      <c r="H144" s="48"/>
      <c r="I144" s="49"/>
      <c r="J144" s="49"/>
      <c r="AA144">
        <f t="shared" si="2"/>
        <v>5</v>
      </c>
      <c r="AB144">
        <f>IF(AND(A144&lt;&gt;"",K144&lt;&gt;"非表示",IF(タスク一覧!$B$4="すべて",TRUE,B144=タスク一覧!$B$4),IF(タスク一覧!$E$4="すべて",TRUE,C144=タスク一覧!$E$4),IF(タスク一覧!$H$4="すべて",TRUE,IF(タスク一覧!$H$4="完了以外",F144&lt;&gt;"完了",F144=タスク一覧!$H$4))),AA144*1000000+COUNTIF($C$5:$C$300,"&lt;"&amp;C144)*1000+ROW(),1000000000000)</f>
        <v>1000000000000</v>
      </c>
    </row>
    <row r="145" spans="1:28">
      <c r="A145" s="46"/>
      <c r="B145" s="46"/>
      <c r="C145" s="46"/>
      <c r="D145" s="46"/>
      <c r="E145" s="46"/>
      <c r="F145" s="46"/>
      <c r="G145" s="47"/>
      <c r="H145" s="48"/>
      <c r="I145" s="49"/>
      <c r="J145" s="49"/>
      <c r="AA145">
        <f t="shared" si="2"/>
        <v>5</v>
      </c>
      <c r="AB145">
        <f>IF(AND(A145&lt;&gt;"",K145&lt;&gt;"非表示",IF(タスク一覧!$B$4="すべて",TRUE,B145=タスク一覧!$B$4),IF(タスク一覧!$E$4="すべて",TRUE,C145=タスク一覧!$E$4),IF(タスク一覧!$H$4="すべて",TRUE,IF(タスク一覧!$H$4="完了以外",F145&lt;&gt;"完了",F145=タスク一覧!$H$4))),AA145*1000000+COUNTIF($C$5:$C$300,"&lt;"&amp;C145)*1000+ROW(),1000000000000)</f>
        <v>1000000000000</v>
      </c>
    </row>
    <row r="146" spans="1:28">
      <c r="A146" s="46"/>
      <c r="B146" s="46"/>
      <c r="C146" s="46"/>
      <c r="D146" s="46"/>
      <c r="E146" s="46"/>
      <c r="F146" s="46"/>
      <c r="G146" s="47"/>
      <c r="H146" s="48"/>
      <c r="I146" s="49"/>
      <c r="J146" s="49"/>
      <c r="AA146">
        <f t="shared" si="2"/>
        <v>5</v>
      </c>
      <c r="AB146">
        <f>IF(AND(A146&lt;&gt;"",K146&lt;&gt;"非表示",IF(タスク一覧!$B$4="すべて",TRUE,B146=タスク一覧!$B$4),IF(タスク一覧!$E$4="すべて",TRUE,C146=タスク一覧!$E$4),IF(タスク一覧!$H$4="すべて",TRUE,IF(タスク一覧!$H$4="完了以外",F146&lt;&gt;"完了",F146=タスク一覧!$H$4))),AA146*1000000+COUNTIF($C$5:$C$300,"&lt;"&amp;C146)*1000+ROW(),1000000000000)</f>
        <v>1000000000000</v>
      </c>
    </row>
    <row r="147" spans="1:28">
      <c r="A147" s="46"/>
      <c r="B147" s="46"/>
      <c r="C147" s="46"/>
      <c r="D147" s="46"/>
      <c r="E147" s="46"/>
      <c r="F147" s="46"/>
      <c r="G147" s="47"/>
      <c r="H147" s="48"/>
      <c r="I147" s="49"/>
      <c r="J147" s="49"/>
      <c r="AA147">
        <f t="shared" si="2"/>
        <v>5</v>
      </c>
      <c r="AB147">
        <f>IF(AND(A147&lt;&gt;"",K147&lt;&gt;"非表示",IF(タスク一覧!$B$4="すべて",TRUE,B147=タスク一覧!$B$4),IF(タスク一覧!$E$4="すべて",TRUE,C147=タスク一覧!$E$4),IF(タスク一覧!$H$4="すべて",TRUE,IF(タスク一覧!$H$4="完了以外",F147&lt;&gt;"完了",F147=タスク一覧!$H$4))),AA147*1000000+COUNTIF($C$5:$C$300,"&lt;"&amp;C147)*1000+ROW(),1000000000000)</f>
        <v>1000000000000</v>
      </c>
    </row>
    <row r="148" spans="1:28">
      <c r="A148" s="46"/>
      <c r="B148" s="46"/>
      <c r="C148" s="46"/>
      <c r="D148" s="46"/>
      <c r="E148" s="46"/>
      <c r="F148" s="46"/>
      <c r="G148" s="47"/>
      <c r="H148" s="48"/>
      <c r="I148" s="49"/>
      <c r="J148" s="49"/>
      <c r="AA148">
        <f t="shared" si="2"/>
        <v>5</v>
      </c>
      <c r="AB148">
        <f>IF(AND(A148&lt;&gt;"",K148&lt;&gt;"非表示",IF(タスク一覧!$B$4="すべて",TRUE,B148=タスク一覧!$B$4),IF(タスク一覧!$E$4="すべて",TRUE,C148=タスク一覧!$E$4),IF(タスク一覧!$H$4="すべて",TRUE,IF(タスク一覧!$H$4="完了以外",F148&lt;&gt;"完了",F148=タスク一覧!$H$4))),AA148*1000000+COUNTIF($C$5:$C$300,"&lt;"&amp;C148)*1000+ROW(),1000000000000)</f>
        <v>1000000000000</v>
      </c>
    </row>
    <row r="149" spans="1:28">
      <c r="A149" s="46"/>
      <c r="B149" s="46"/>
      <c r="C149" s="46"/>
      <c r="D149" s="46"/>
      <c r="E149" s="46"/>
      <c r="F149" s="46"/>
      <c r="G149" s="47"/>
      <c r="H149" s="48"/>
      <c r="I149" s="49"/>
      <c r="J149" s="49"/>
      <c r="AA149">
        <f t="shared" si="2"/>
        <v>5</v>
      </c>
      <c r="AB149">
        <f>IF(AND(A149&lt;&gt;"",K149&lt;&gt;"非表示",IF(タスク一覧!$B$4="すべて",TRUE,B149=タスク一覧!$B$4),IF(タスク一覧!$E$4="すべて",TRUE,C149=タスク一覧!$E$4),IF(タスク一覧!$H$4="すべて",TRUE,IF(タスク一覧!$H$4="完了以外",F149&lt;&gt;"完了",F149=タスク一覧!$H$4))),AA149*1000000+COUNTIF($C$5:$C$300,"&lt;"&amp;C149)*1000+ROW(),1000000000000)</f>
        <v>1000000000000</v>
      </c>
    </row>
    <row r="150" spans="1:28">
      <c r="A150" s="46"/>
      <c r="B150" s="46"/>
      <c r="C150" s="46"/>
      <c r="D150" s="46"/>
      <c r="E150" s="46"/>
      <c r="F150" s="46"/>
      <c r="G150" s="47"/>
      <c r="H150" s="48"/>
      <c r="I150" s="49"/>
      <c r="J150" s="49"/>
      <c r="AA150">
        <f t="shared" si="2"/>
        <v>5</v>
      </c>
      <c r="AB150">
        <f>IF(AND(A150&lt;&gt;"",K150&lt;&gt;"非表示",IF(タスク一覧!$B$4="すべて",TRUE,B150=タスク一覧!$B$4),IF(タスク一覧!$E$4="すべて",TRUE,C150=タスク一覧!$E$4),IF(タスク一覧!$H$4="すべて",TRUE,IF(タスク一覧!$H$4="完了以外",F150&lt;&gt;"完了",F150=タスク一覧!$H$4))),AA150*1000000+COUNTIF($C$5:$C$300,"&lt;"&amp;C150)*1000+ROW(),1000000000000)</f>
        <v>1000000000000</v>
      </c>
    </row>
    <row r="151" spans="1:28">
      <c r="A151" s="46"/>
      <c r="B151" s="46"/>
      <c r="C151" s="46"/>
      <c r="D151" s="46"/>
      <c r="E151" s="46"/>
      <c r="F151" s="46"/>
      <c r="G151" s="47"/>
      <c r="H151" s="48"/>
      <c r="I151" s="49"/>
      <c r="J151" s="49"/>
      <c r="AA151">
        <f t="shared" si="2"/>
        <v>5</v>
      </c>
      <c r="AB151">
        <f>IF(AND(A151&lt;&gt;"",K151&lt;&gt;"非表示",IF(タスク一覧!$B$4="すべて",TRUE,B151=タスク一覧!$B$4),IF(タスク一覧!$E$4="すべて",TRUE,C151=タスク一覧!$E$4),IF(タスク一覧!$H$4="すべて",TRUE,IF(タスク一覧!$H$4="完了以外",F151&lt;&gt;"完了",F151=タスク一覧!$H$4))),AA151*1000000+COUNTIF($C$5:$C$300,"&lt;"&amp;C151)*1000+ROW(),1000000000000)</f>
        <v>1000000000000</v>
      </c>
    </row>
    <row r="152" spans="1:28">
      <c r="A152" s="46"/>
      <c r="B152" s="46"/>
      <c r="C152" s="46"/>
      <c r="D152" s="46"/>
      <c r="E152" s="46"/>
      <c r="F152" s="46"/>
      <c r="G152" s="47"/>
      <c r="H152" s="48"/>
      <c r="I152" s="49"/>
      <c r="J152" s="49"/>
      <c r="AA152">
        <f t="shared" si="2"/>
        <v>5</v>
      </c>
      <c r="AB152">
        <f>IF(AND(A152&lt;&gt;"",K152&lt;&gt;"非表示",IF(タスク一覧!$B$4="すべて",TRUE,B152=タスク一覧!$B$4),IF(タスク一覧!$E$4="すべて",TRUE,C152=タスク一覧!$E$4),IF(タスク一覧!$H$4="すべて",TRUE,IF(タスク一覧!$H$4="完了以外",F152&lt;&gt;"完了",F152=タスク一覧!$H$4))),AA152*1000000+COUNTIF($C$5:$C$300,"&lt;"&amp;C152)*1000+ROW(),1000000000000)</f>
        <v>1000000000000</v>
      </c>
    </row>
    <row r="153" spans="1:28">
      <c r="A153" s="46"/>
      <c r="B153" s="46"/>
      <c r="C153" s="46"/>
      <c r="D153" s="46"/>
      <c r="E153" s="46"/>
      <c r="F153" s="46"/>
      <c r="G153" s="47"/>
      <c r="H153" s="48"/>
      <c r="I153" s="49"/>
      <c r="J153" s="49"/>
      <c r="AA153">
        <f t="shared" si="2"/>
        <v>5</v>
      </c>
      <c r="AB153">
        <f>IF(AND(A153&lt;&gt;"",K153&lt;&gt;"非表示",IF(タスク一覧!$B$4="すべて",TRUE,B153=タスク一覧!$B$4),IF(タスク一覧!$E$4="すべて",TRUE,C153=タスク一覧!$E$4),IF(タスク一覧!$H$4="すべて",TRUE,IF(タスク一覧!$H$4="完了以外",F153&lt;&gt;"完了",F153=タスク一覧!$H$4))),AA153*1000000+COUNTIF($C$5:$C$300,"&lt;"&amp;C153)*1000+ROW(),1000000000000)</f>
        <v>1000000000000</v>
      </c>
    </row>
    <row r="154" spans="1:28">
      <c r="A154" s="46"/>
      <c r="B154" s="46"/>
      <c r="C154" s="46"/>
      <c r="D154" s="46"/>
      <c r="E154" s="46"/>
      <c r="F154" s="46"/>
      <c r="G154" s="47"/>
      <c r="H154" s="48"/>
      <c r="I154" s="49"/>
      <c r="J154" s="49"/>
      <c r="AA154">
        <f t="shared" si="2"/>
        <v>5</v>
      </c>
      <c r="AB154">
        <f>IF(AND(A154&lt;&gt;"",K154&lt;&gt;"非表示",IF(タスク一覧!$B$4="すべて",TRUE,B154=タスク一覧!$B$4),IF(タスク一覧!$E$4="すべて",TRUE,C154=タスク一覧!$E$4),IF(タスク一覧!$H$4="すべて",TRUE,IF(タスク一覧!$H$4="完了以外",F154&lt;&gt;"完了",F154=タスク一覧!$H$4))),AA154*1000000+COUNTIF($C$5:$C$300,"&lt;"&amp;C154)*1000+ROW(),1000000000000)</f>
        <v>1000000000000</v>
      </c>
    </row>
    <row r="155" spans="1:28">
      <c r="A155" s="46"/>
      <c r="B155" s="46"/>
      <c r="C155" s="46"/>
      <c r="D155" s="46"/>
      <c r="E155" s="46"/>
      <c r="F155" s="46"/>
      <c r="G155" s="47"/>
      <c r="H155" s="48"/>
      <c r="I155" s="49"/>
      <c r="J155" s="49"/>
      <c r="AA155">
        <f t="shared" si="2"/>
        <v>5</v>
      </c>
      <c r="AB155">
        <f>IF(AND(A155&lt;&gt;"",K155&lt;&gt;"非表示",IF(タスク一覧!$B$4="すべて",TRUE,B155=タスク一覧!$B$4),IF(タスク一覧!$E$4="すべて",TRUE,C155=タスク一覧!$E$4),IF(タスク一覧!$H$4="すべて",TRUE,IF(タスク一覧!$H$4="完了以外",F155&lt;&gt;"完了",F155=タスク一覧!$H$4))),AA155*1000000+COUNTIF($C$5:$C$300,"&lt;"&amp;C155)*1000+ROW(),1000000000000)</f>
        <v>1000000000000</v>
      </c>
    </row>
    <row r="156" spans="1:28">
      <c r="A156" s="46"/>
      <c r="B156" s="46"/>
      <c r="C156" s="46"/>
      <c r="D156" s="46"/>
      <c r="E156" s="46"/>
      <c r="F156" s="46"/>
      <c r="G156" s="47"/>
      <c r="H156" s="48"/>
      <c r="I156" s="49"/>
      <c r="J156" s="49"/>
      <c r="AA156">
        <f t="shared" si="2"/>
        <v>5</v>
      </c>
      <c r="AB156">
        <f>IF(AND(A156&lt;&gt;"",K156&lt;&gt;"非表示",IF(タスク一覧!$B$4="すべて",TRUE,B156=タスク一覧!$B$4),IF(タスク一覧!$E$4="すべて",TRUE,C156=タスク一覧!$E$4),IF(タスク一覧!$H$4="すべて",TRUE,IF(タスク一覧!$H$4="完了以外",F156&lt;&gt;"完了",F156=タスク一覧!$H$4))),AA156*1000000+COUNTIF($C$5:$C$300,"&lt;"&amp;C156)*1000+ROW(),1000000000000)</f>
        <v>1000000000000</v>
      </c>
    </row>
    <row r="157" spans="1:28">
      <c r="A157" s="46"/>
      <c r="B157" s="46"/>
      <c r="C157" s="46"/>
      <c r="D157" s="46"/>
      <c r="E157" s="46"/>
      <c r="F157" s="46"/>
      <c r="G157" s="47"/>
      <c r="H157" s="48"/>
      <c r="I157" s="49"/>
      <c r="J157" s="49"/>
      <c r="AA157">
        <f t="shared" si="2"/>
        <v>5</v>
      </c>
      <c r="AB157">
        <f>IF(AND(A157&lt;&gt;"",K157&lt;&gt;"非表示",IF(タスク一覧!$B$4="すべて",TRUE,B157=タスク一覧!$B$4),IF(タスク一覧!$E$4="すべて",TRUE,C157=タスク一覧!$E$4),IF(タスク一覧!$H$4="すべて",TRUE,IF(タスク一覧!$H$4="完了以外",F157&lt;&gt;"完了",F157=タスク一覧!$H$4))),AA157*1000000+COUNTIF($C$5:$C$300,"&lt;"&amp;C157)*1000+ROW(),1000000000000)</f>
        <v>1000000000000</v>
      </c>
    </row>
    <row r="158" spans="1:28">
      <c r="A158" s="46"/>
      <c r="B158" s="46"/>
      <c r="C158" s="46"/>
      <c r="D158" s="46"/>
      <c r="E158" s="46"/>
      <c r="F158" s="46"/>
      <c r="G158" s="47"/>
      <c r="H158" s="48"/>
      <c r="I158" s="49"/>
      <c r="J158" s="49"/>
      <c r="AA158">
        <f t="shared" si="2"/>
        <v>5</v>
      </c>
      <c r="AB158">
        <f>IF(AND(A158&lt;&gt;"",K158&lt;&gt;"非表示",IF(タスク一覧!$B$4="すべて",TRUE,B158=タスク一覧!$B$4),IF(タスク一覧!$E$4="すべて",TRUE,C158=タスク一覧!$E$4),IF(タスク一覧!$H$4="すべて",TRUE,IF(タスク一覧!$H$4="完了以外",F158&lt;&gt;"完了",F158=タスク一覧!$H$4))),AA158*1000000+COUNTIF($C$5:$C$300,"&lt;"&amp;C158)*1000+ROW(),1000000000000)</f>
        <v>1000000000000</v>
      </c>
    </row>
    <row r="159" spans="1:28">
      <c r="A159" s="46"/>
      <c r="B159" s="46"/>
      <c r="C159" s="46"/>
      <c r="D159" s="46"/>
      <c r="E159" s="46"/>
      <c r="F159" s="46"/>
      <c r="G159" s="47"/>
      <c r="H159" s="48"/>
      <c r="I159" s="49"/>
      <c r="J159" s="49"/>
      <c r="AA159">
        <f t="shared" si="2"/>
        <v>5</v>
      </c>
      <c r="AB159">
        <f>IF(AND(A159&lt;&gt;"",K159&lt;&gt;"非表示",IF(タスク一覧!$B$4="すべて",TRUE,B159=タスク一覧!$B$4),IF(タスク一覧!$E$4="すべて",TRUE,C159=タスク一覧!$E$4),IF(タスク一覧!$H$4="すべて",TRUE,IF(タスク一覧!$H$4="完了以外",F159&lt;&gt;"完了",F159=タスク一覧!$H$4))),AA159*1000000+COUNTIF($C$5:$C$300,"&lt;"&amp;C159)*1000+ROW(),1000000000000)</f>
        <v>1000000000000</v>
      </c>
    </row>
    <row r="160" spans="1:28">
      <c r="A160" s="46"/>
      <c r="B160" s="46"/>
      <c r="C160" s="46"/>
      <c r="D160" s="46"/>
      <c r="E160" s="46"/>
      <c r="F160" s="46"/>
      <c r="G160" s="47"/>
      <c r="H160" s="48"/>
      <c r="I160" s="49"/>
      <c r="J160" s="49"/>
      <c r="AA160">
        <f t="shared" si="2"/>
        <v>5</v>
      </c>
      <c r="AB160">
        <f>IF(AND(A160&lt;&gt;"",K160&lt;&gt;"非表示",IF(タスク一覧!$B$4="すべて",TRUE,B160=タスク一覧!$B$4),IF(タスク一覧!$E$4="すべて",TRUE,C160=タスク一覧!$E$4),IF(タスク一覧!$H$4="すべて",TRUE,IF(タスク一覧!$H$4="完了以外",F160&lt;&gt;"完了",F160=タスク一覧!$H$4))),AA160*1000000+COUNTIF($C$5:$C$300,"&lt;"&amp;C160)*1000+ROW(),1000000000000)</f>
        <v>1000000000000</v>
      </c>
    </row>
    <row r="161" spans="1:28">
      <c r="A161" s="46"/>
      <c r="B161" s="46"/>
      <c r="C161" s="46"/>
      <c r="D161" s="46"/>
      <c r="E161" s="46"/>
      <c r="F161" s="46"/>
      <c r="G161" s="47"/>
      <c r="H161" s="48"/>
      <c r="I161" s="49"/>
      <c r="J161" s="49"/>
      <c r="AA161">
        <f t="shared" si="2"/>
        <v>5</v>
      </c>
      <c r="AB161">
        <f>IF(AND(A161&lt;&gt;"",K161&lt;&gt;"非表示",IF(タスク一覧!$B$4="すべて",TRUE,B161=タスク一覧!$B$4),IF(タスク一覧!$E$4="すべて",TRUE,C161=タスク一覧!$E$4),IF(タスク一覧!$H$4="すべて",TRUE,IF(タスク一覧!$H$4="完了以外",F161&lt;&gt;"完了",F161=タスク一覧!$H$4))),AA161*1000000+COUNTIF($C$5:$C$300,"&lt;"&amp;C161)*1000+ROW(),1000000000000)</f>
        <v>1000000000000</v>
      </c>
    </row>
    <row r="162" spans="1:28">
      <c r="A162" s="46"/>
      <c r="B162" s="46"/>
      <c r="C162" s="46"/>
      <c r="D162" s="46"/>
      <c r="E162" s="46"/>
      <c r="F162" s="46"/>
      <c r="G162" s="47"/>
      <c r="H162" s="48"/>
      <c r="I162" s="49"/>
      <c r="J162" s="49"/>
      <c r="AA162">
        <f t="shared" si="2"/>
        <v>5</v>
      </c>
      <c r="AB162">
        <f>IF(AND(A162&lt;&gt;"",K162&lt;&gt;"非表示",IF(タスク一覧!$B$4="すべて",TRUE,B162=タスク一覧!$B$4),IF(タスク一覧!$E$4="すべて",TRUE,C162=タスク一覧!$E$4),IF(タスク一覧!$H$4="すべて",TRUE,IF(タスク一覧!$H$4="完了以外",F162&lt;&gt;"完了",F162=タスク一覧!$H$4))),AA162*1000000+COUNTIF($C$5:$C$300,"&lt;"&amp;C162)*1000+ROW(),1000000000000)</f>
        <v>1000000000000</v>
      </c>
    </row>
    <row r="163" spans="1:28">
      <c r="A163" s="46"/>
      <c r="B163" s="46"/>
      <c r="C163" s="46"/>
      <c r="D163" s="46"/>
      <c r="E163" s="46"/>
      <c r="F163" s="46"/>
      <c r="G163" s="47"/>
      <c r="H163" s="48"/>
      <c r="I163" s="49"/>
      <c r="J163" s="49"/>
      <c r="AA163">
        <f t="shared" si="2"/>
        <v>5</v>
      </c>
      <c r="AB163">
        <f>IF(AND(A163&lt;&gt;"",K163&lt;&gt;"非表示",IF(タスク一覧!$B$4="すべて",TRUE,B163=タスク一覧!$B$4),IF(タスク一覧!$E$4="すべて",TRUE,C163=タスク一覧!$E$4),IF(タスク一覧!$H$4="すべて",TRUE,IF(タスク一覧!$H$4="完了以外",F163&lt;&gt;"完了",F163=タスク一覧!$H$4))),AA163*1000000+COUNTIF($C$5:$C$300,"&lt;"&amp;C163)*1000+ROW(),1000000000000)</f>
        <v>1000000000000</v>
      </c>
    </row>
    <row r="164" spans="1:28">
      <c r="A164" s="46"/>
      <c r="B164" s="46"/>
      <c r="C164" s="46"/>
      <c r="D164" s="46"/>
      <c r="E164" s="46"/>
      <c r="F164" s="46"/>
      <c r="G164" s="47"/>
      <c r="H164" s="48"/>
      <c r="I164" s="49"/>
      <c r="J164" s="49"/>
      <c r="AA164">
        <f t="shared" si="2"/>
        <v>5</v>
      </c>
      <c r="AB164">
        <f>IF(AND(A164&lt;&gt;"",K164&lt;&gt;"非表示",IF(タスク一覧!$B$4="すべて",TRUE,B164=タスク一覧!$B$4),IF(タスク一覧!$E$4="すべて",TRUE,C164=タスク一覧!$E$4),IF(タスク一覧!$H$4="すべて",TRUE,IF(タスク一覧!$H$4="完了以外",F164&lt;&gt;"完了",F164=タスク一覧!$H$4))),AA164*1000000+COUNTIF($C$5:$C$300,"&lt;"&amp;C164)*1000+ROW(),1000000000000)</f>
        <v>1000000000000</v>
      </c>
    </row>
    <row r="165" spans="1:28">
      <c r="A165" s="46"/>
      <c r="B165" s="46"/>
      <c r="C165" s="46"/>
      <c r="D165" s="46"/>
      <c r="E165" s="46"/>
      <c r="F165" s="46"/>
      <c r="G165" s="47"/>
      <c r="H165" s="48"/>
      <c r="I165" s="49"/>
      <c r="J165" s="49"/>
      <c r="AA165">
        <f t="shared" si="2"/>
        <v>5</v>
      </c>
      <c r="AB165">
        <f>IF(AND(A165&lt;&gt;"",K165&lt;&gt;"非表示",IF(タスク一覧!$B$4="すべて",TRUE,B165=タスク一覧!$B$4),IF(タスク一覧!$E$4="すべて",TRUE,C165=タスク一覧!$E$4),IF(タスク一覧!$H$4="すべて",TRUE,IF(タスク一覧!$H$4="完了以外",F165&lt;&gt;"完了",F165=タスク一覧!$H$4))),AA165*1000000+COUNTIF($C$5:$C$300,"&lt;"&amp;C165)*1000+ROW(),1000000000000)</f>
        <v>1000000000000</v>
      </c>
    </row>
    <row r="166" spans="1:28">
      <c r="A166" s="46"/>
      <c r="B166" s="46"/>
      <c r="C166" s="46"/>
      <c r="D166" s="46"/>
      <c r="E166" s="46"/>
      <c r="F166" s="46"/>
      <c r="G166" s="47"/>
      <c r="H166" s="48"/>
      <c r="I166" s="49"/>
      <c r="J166" s="49"/>
      <c r="AA166">
        <f t="shared" si="2"/>
        <v>5</v>
      </c>
      <c r="AB166">
        <f>IF(AND(A166&lt;&gt;"",K166&lt;&gt;"非表示",IF(タスク一覧!$B$4="すべて",TRUE,B166=タスク一覧!$B$4),IF(タスク一覧!$E$4="すべて",TRUE,C166=タスク一覧!$E$4),IF(タスク一覧!$H$4="すべて",TRUE,IF(タスク一覧!$H$4="完了以外",F166&lt;&gt;"完了",F166=タスク一覧!$H$4))),AA166*1000000+COUNTIF($C$5:$C$300,"&lt;"&amp;C166)*1000+ROW(),1000000000000)</f>
        <v>1000000000000</v>
      </c>
    </row>
    <row r="167" spans="1:28">
      <c r="A167" s="46"/>
      <c r="B167" s="46"/>
      <c r="C167" s="46"/>
      <c r="D167" s="46"/>
      <c r="E167" s="46"/>
      <c r="F167" s="46"/>
      <c r="G167" s="47"/>
      <c r="H167" s="48"/>
      <c r="I167" s="49"/>
      <c r="J167" s="49"/>
      <c r="AA167">
        <f t="shared" si="2"/>
        <v>5</v>
      </c>
      <c r="AB167">
        <f>IF(AND(A167&lt;&gt;"",K167&lt;&gt;"非表示",IF(タスク一覧!$B$4="すべて",TRUE,B167=タスク一覧!$B$4),IF(タスク一覧!$E$4="すべて",TRUE,C167=タスク一覧!$E$4),IF(タスク一覧!$H$4="すべて",TRUE,IF(タスク一覧!$H$4="完了以外",F167&lt;&gt;"完了",F167=タスク一覧!$H$4))),AA167*1000000+COUNTIF($C$5:$C$300,"&lt;"&amp;C167)*1000+ROW(),1000000000000)</f>
        <v>1000000000000</v>
      </c>
    </row>
    <row r="168" spans="1:28">
      <c r="A168" s="46"/>
      <c r="B168" s="46"/>
      <c r="C168" s="46"/>
      <c r="D168" s="46"/>
      <c r="E168" s="46"/>
      <c r="F168" s="46"/>
      <c r="G168" s="47"/>
      <c r="H168" s="48"/>
      <c r="I168" s="49"/>
      <c r="J168" s="49"/>
      <c r="AA168">
        <f t="shared" si="2"/>
        <v>5</v>
      </c>
      <c r="AB168">
        <f>IF(AND(A168&lt;&gt;"",K168&lt;&gt;"非表示",IF(タスク一覧!$B$4="すべて",TRUE,B168=タスク一覧!$B$4),IF(タスク一覧!$E$4="すべて",TRUE,C168=タスク一覧!$E$4),IF(タスク一覧!$H$4="すべて",TRUE,IF(タスク一覧!$H$4="完了以外",F168&lt;&gt;"完了",F168=タスク一覧!$H$4))),AA168*1000000+COUNTIF($C$5:$C$300,"&lt;"&amp;C168)*1000+ROW(),1000000000000)</f>
        <v>1000000000000</v>
      </c>
    </row>
    <row r="169" spans="1:28">
      <c r="A169" s="46"/>
      <c r="B169" s="46"/>
      <c r="C169" s="46"/>
      <c r="D169" s="46"/>
      <c r="E169" s="46"/>
      <c r="F169" s="46"/>
      <c r="G169" s="47"/>
      <c r="H169" s="48"/>
      <c r="I169" s="49"/>
      <c r="J169" s="49"/>
      <c r="AA169">
        <f t="shared" si="2"/>
        <v>5</v>
      </c>
      <c r="AB169">
        <f>IF(AND(A169&lt;&gt;"",K169&lt;&gt;"非表示",IF(タスク一覧!$B$4="すべて",TRUE,B169=タスク一覧!$B$4),IF(タスク一覧!$E$4="すべて",TRUE,C169=タスク一覧!$E$4),IF(タスク一覧!$H$4="すべて",TRUE,IF(タスク一覧!$H$4="完了以外",F169&lt;&gt;"完了",F169=タスク一覧!$H$4))),AA169*1000000+COUNTIF($C$5:$C$300,"&lt;"&amp;C169)*1000+ROW(),1000000000000)</f>
        <v>1000000000000</v>
      </c>
    </row>
    <row r="170" spans="1:28">
      <c r="A170" s="46"/>
      <c r="B170" s="46"/>
      <c r="C170" s="46"/>
      <c r="D170" s="46"/>
      <c r="E170" s="46"/>
      <c r="F170" s="46"/>
      <c r="G170" s="47"/>
      <c r="H170" s="48"/>
      <c r="I170" s="49"/>
      <c r="J170" s="49"/>
      <c r="AA170">
        <f t="shared" si="2"/>
        <v>5</v>
      </c>
      <c r="AB170">
        <f>IF(AND(A170&lt;&gt;"",K170&lt;&gt;"非表示",IF(タスク一覧!$B$4="すべて",TRUE,B170=タスク一覧!$B$4),IF(タスク一覧!$E$4="すべて",TRUE,C170=タスク一覧!$E$4),IF(タスク一覧!$H$4="すべて",TRUE,IF(タスク一覧!$H$4="完了以外",F170&lt;&gt;"完了",F170=タスク一覧!$H$4))),AA170*1000000+COUNTIF($C$5:$C$300,"&lt;"&amp;C170)*1000+ROW(),1000000000000)</f>
        <v>1000000000000</v>
      </c>
    </row>
    <row r="171" spans="1:28">
      <c r="A171" s="46"/>
      <c r="B171" s="46"/>
      <c r="C171" s="46"/>
      <c r="D171" s="46"/>
      <c r="E171" s="46"/>
      <c r="F171" s="46"/>
      <c r="G171" s="47"/>
      <c r="H171" s="48"/>
      <c r="I171" s="49"/>
      <c r="J171" s="49"/>
      <c r="AA171">
        <f t="shared" si="2"/>
        <v>5</v>
      </c>
      <c r="AB171">
        <f>IF(AND(A171&lt;&gt;"",K171&lt;&gt;"非表示",IF(タスク一覧!$B$4="すべて",TRUE,B171=タスク一覧!$B$4),IF(タスク一覧!$E$4="すべて",TRUE,C171=タスク一覧!$E$4),IF(タスク一覧!$H$4="すべて",TRUE,IF(タスク一覧!$H$4="完了以外",F171&lt;&gt;"完了",F171=タスク一覧!$H$4))),AA171*1000000+COUNTIF($C$5:$C$300,"&lt;"&amp;C171)*1000+ROW(),1000000000000)</f>
        <v>1000000000000</v>
      </c>
    </row>
    <row r="172" spans="1:28">
      <c r="A172" s="46"/>
      <c r="B172" s="46"/>
      <c r="C172" s="46"/>
      <c r="D172" s="46"/>
      <c r="E172" s="46"/>
      <c r="F172" s="46"/>
      <c r="G172" s="47"/>
      <c r="H172" s="48"/>
      <c r="I172" s="49"/>
      <c r="J172" s="49"/>
      <c r="AA172">
        <f t="shared" si="2"/>
        <v>5</v>
      </c>
      <c r="AB172">
        <f>IF(AND(A172&lt;&gt;"",K172&lt;&gt;"非表示",IF(タスク一覧!$B$4="すべて",TRUE,B172=タスク一覧!$B$4),IF(タスク一覧!$E$4="すべて",TRUE,C172=タスク一覧!$E$4),IF(タスク一覧!$H$4="すべて",TRUE,IF(タスク一覧!$H$4="完了以外",F172&lt;&gt;"完了",F172=タスク一覧!$H$4))),AA172*1000000+COUNTIF($C$5:$C$300,"&lt;"&amp;C172)*1000+ROW(),1000000000000)</f>
        <v>1000000000000</v>
      </c>
    </row>
    <row r="173" spans="1:28">
      <c r="A173" s="46"/>
      <c r="B173" s="46"/>
      <c r="C173" s="46"/>
      <c r="D173" s="46"/>
      <c r="E173" s="46"/>
      <c r="F173" s="46"/>
      <c r="G173" s="47"/>
      <c r="H173" s="48"/>
      <c r="I173" s="49"/>
      <c r="J173" s="49"/>
      <c r="AA173">
        <f t="shared" si="2"/>
        <v>5</v>
      </c>
      <c r="AB173">
        <f>IF(AND(A173&lt;&gt;"",K173&lt;&gt;"非表示",IF(タスク一覧!$B$4="すべて",TRUE,B173=タスク一覧!$B$4),IF(タスク一覧!$E$4="すべて",TRUE,C173=タスク一覧!$E$4),IF(タスク一覧!$H$4="すべて",TRUE,IF(タスク一覧!$H$4="完了以外",F173&lt;&gt;"完了",F173=タスク一覧!$H$4))),AA173*1000000+COUNTIF($C$5:$C$300,"&lt;"&amp;C173)*1000+ROW(),1000000000000)</f>
        <v>1000000000000</v>
      </c>
    </row>
    <row r="174" spans="1:28">
      <c r="A174" s="46"/>
      <c r="B174" s="46"/>
      <c r="C174" s="46"/>
      <c r="D174" s="46"/>
      <c r="E174" s="46"/>
      <c r="F174" s="46"/>
      <c r="G174" s="47"/>
      <c r="H174" s="48"/>
      <c r="I174" s="49"/>
      <c r="J174" s="49"/>
      <c r="AA174">
        <f t="shared" si="2"/>
        <v>5</v>
      </c>
      <c r="AB174">
        <f>IF(AND(A174&lt;&gt;"",K174&lt;&gt;"非表示",IF(タスク一覧!$B$4="すべて",TRUE,B174=タスク一覧!$B$4),IF(タスク一覧!$E$4="すべて",TRUE,C174=タスク一覧!$E$4),IF(タスク一覧!$H$4="すべて",TRUE,IF(タスク一覧!$H$4="完了以外",F174&lt;&gt;"完了",F174=タスク一覧!$H$4))),AA174*1000000+COUNTIF($C$5:$C$300,"&lt;"&amp;C174)*1000+ROW(),1000000000000)</f>
        <v>1000000000000</v>
      </c>
    </row>
    <row r="175" spans="1:28">
      <c r="A175" s="46"/>
      <c r="B175" s="46"/>
      <c r="C175" s="46"/>
      <c r="D175" s="46"/>
      <c r="E175" s="46"/>
      <c r="F175" s="46"/>
      <c r="G175" s="47"/>
      <c r="H175" s="48"/>
      <c r="I175" s="49"/>
      <c r="J175" s="49"/>
      <c r="AA175">
        <f t="shared" si="2"/>
        <v>5</v>
      </c>
      <c r="AB175">
        <f>IF(AND(A175&lt;&gt;"",K175&lt;&gt;"非表示",IF(タスク一覧!$B$4="すべて",TRUE,B175=タスク一覧!$B$4),IF(タスク一覧!$E$4="すべて",TRUE,C175=タスク一覧!$E$4),IF(タスク一覧!$H$4="すべて",TRUE,IF(タスク一覧!$H$4="完了以外",F175&lt;&gt;"完了",F175=タスク一覧!$H$4))),AA175*1000000+COUNTIF($C$5:$C$300,"&lt;"&amp;C175)*1000+ROW(),1000000000000)</f>
        <v>1000000000000</v>
      </c>
    </row>
    <row r="176" spans="1:28">
      <c r="A176" s="46"/>
      <c r="B176" s="46"/>
      <c r="C176" s="46"/>
      <c r="D176" s="46"/>
      <c r="E176" s="46"/>
      <c r="F176" s="46"/>
      <c r="G176" s="47"/>
      <c r="H176" s="48"/>
      <c r="I176" s="49"/>
      <c r="J176" s="49"/>
      <c r="AA176">
        <f t="shared" si="2"/>
        <v>5</v>
      </c>
      <c r="AB176">
        <f>IF(AND(A176&lt;&gt;"",K176&lt;&gt;"非表示",IF(タスク一覧!$B$4="すべて",TRUE,B176=タスク一覧!$B$4),IF(タスク一覧!$E$4="すべて",TRUE,C176=タスク一覧!$E$4),IF(タスク一覧!$H$4="すべて",TRUE,IF(タスク一覧!$H$4="完了以外",F176&lt;&gt;"完了",F176=タスク一覧!$H$4))),AA176*1000000+COUNTIF($C$5:$C$300,"&lt;"&amp;C176)*1000+ROW(),1000000000000)</f>
        <v>1000000000000</v>
      </c>
    </row>
    <row r="177" spans="1:28">
      <c r="A177" s="46"/>
      <c r="B177" s="46"/>
      <c r="C177" s="46"/>
      <c r="D177" s="46"/>
      <c r="E177" s="46"/>
      <c r="F177" s="46"/>
      <c r="G177" s="47"/>
      <c r="H177" s="48"/>
      <c r="I177" s="49"/>
      <c r="J177" s="49"/>
      <c r="AA177">
        <f t="shared" si="2"/>
        <v>5</v>
      </c>
      <c r="AB177">
        <f>IF(AND(A177&lt;&gt;"",K177&lt;&gt;"非表示",IF(タスク一覧!$B$4="すべて",TRUE,B177=タスク一覧!$B$4),IF(タスク一覧!$E$4="すべて",TRUE,C177=タスク一覧!$E$4),IF(タスク一覧!$H$4="すべて",TRUE,IF(タスク一覧!$H$4="完了以外",F177&lt;&gt;"完了",F177=タスク一覧!$H$4))),AA177*1000000+COUNTIF($C$5:$C$300,"&lt;"&amp;C177)*1000+ROW(),1000000000000)</f>
        <v>1000000000000</v>
      </c>
    </row>
    <row r="178" spans="1:28">
      <c r="A178" s="46"/>
      <c r="B178" s="46"/>
      <c r="C178" s="46"/>
      <c r="D178" s="46"/>
      <c r="E178" s="46"/>
      <c r="F178" s="46"/>
      <c r="G178" s="47"/>
      <c r="H178" s="48"/>
      <c r="I178" s="49"/>
      <c r="J178" s="49"/>
      <c r="AA178">
        <f t="shared" si="2"/>
        <v>5</v>
      </c>
      <c r="AB178">
        <f>IF(AND(A178&lt;&gt;"",K178&lt;&gt;"非表示",IF(タスク一覧!$B$4="すべて",TRUE,B178=タスク一覧!$B$4),IF(タスク一覧!$E$4="すべて",TRUE,C178=タスク一覧!$E$4),IF(タスク一覧!$H$4="すべて",TRUE,IF(タスク一覧!$H$4="完了以外",F178&lt;&gt;"完了",F178=タスク一覧!$H$4))),AA178*1000000+COUNTIF($C$5:$C$300,"&lt;"&amp;C178)*1000+ROW(),1000000000000)</f>
        <v>1000000000000</v>
      </c>
    </row>
    <row r="179" spans="1:28">
      <c r="A179" s="46"/>
      <c r="B179" s="46"/>
      <c r="C179" s="46"/>
      <c r="D179" s="46"/>
      <c r="E179" s="46"/>
      <c r="F179" s="46"/>
      <c r="G179" s="47"/>
      <c r="H179" s="48"/>
      <c r="I179" s="49"/>
      <c r="J179" s="49"/>
      <c r="AA179">
        <f t="shared" si="2"/>
        <v>5</v>
      </c>
      <c r="AB179">
        <f>IF(AND(A179&lt;&gt;"",K179&lt;&gt;"非表示",IF(タスク一覧!$B$4="すべて",TRUE,B179=タスク一覧!$B$4),IF(タスク一覧!$E$4="すべて",TRUE,C179=タスク一覧!$E$4),IF(タスク一覧!$H$4="すべて",TRUE,IF(タスク一覧!$H$4="完了以外",F179&lt;&gt;"完了",F179=タスク一覧!$H$4))),AA179*1000000+COUNTIF($C$5:$C$300,"&lt;"&amp;C179)*1000+ROW(),1000000000000)</f>
        <v>1000000000000</v>
      </c>
    </row>
    <row r="180" spans="1:28">
      <c r="A180" s="46"/>
      <c r="B180" s="46"/>
      <c r="C180" s="46"/>
      <c r="D180" s="46"/>
      <c r="E180" s="46"/>
      <c r="F180" s="46"/>
      <c r="G180" s="47"/>
      <c r="H180" s="48"/>
      <c r="I180" s="49"/>
      <c r="J180" s="49"/>
      <c r="AA180">
        <f t="shared" si="2"/>
        <v>5</v>
      </c>
      <c r="AB180">
        <f>IF(AND(A180&lt;&gt;"",K180&lt;&gt;"非表示",IF(タスク一覧!$B$4="すべて",TRUE,B180=タスク一覧!$B$4),IF(タスク一覧!$E$4="すべて",TRUE,C180=タスク一覧!$E$4),IF(タスク一覧!$H$4="すべて",TRUE,IF(タスク一覧!$H$4="完了以外",F180&lt;&gt;"完了",F180=タスク一覧!$H$4))),AA180*1000000+COUNTIF($C$5:$C$300,"&lt;"&amp;C180)*1000+ROW(),1000000000000)</f>
        <v>1000000000000</v>
      </c>
    </row>
    <row r="181" spans="1:28">
      <c r="A181" s="46"/>
      <c r="B181" s="46"/>
      <c r="C181" s="46"/>
      <c r="D181" s="46"/>
      <c r="E181" s="46"/>
      <c r="F181" s="46"/>
      <c r="G181" s="47"/>
      <c r="H181" s="48"/>
      <c r="I181" s="49"/>
      <c r="J181" s="49"/>
      <c r="AA181">
        <f t="shared" si="2"/>
        <v>5</v>
      </c>
      <c r="AB181">
        <f>IF(AND(A181&lt;&gt;"",K181&lt;&gt;"非表示",IF(タスク一覧!$B$4="すべて",TRUE,B181=タスク一覧!$B$4),IF(タスク一覧!$E$4="すべて",TRUE,C181=タスク一覧!$E$4),IF(タスク一覧!$H$4="すべて",TRUE,IF(タスク一覧!$H$4="完了以外",F181&lt;&gt;"完了",F181=タスク一覧!$H$4))),AA181*1000000+COUNTIF($C$5:$C$300,"&lt;"&amp;C181)*1000+ROW(),1000000000000)</f>
        <v>1000000000000</v>
      </c>
    </row>
    <row r="182" spans="1:28">
      <c r="A182" s="46"/>
      <c r="B182" s="46"/>
      <c r="C182" s="46"/>
      <c r="D182" s="46"/>
      <c r="E182" s="46"/>
      <c r="F182" s="46"/>
      <c r="G182" s="47"/>
      <c r="H182" s="48"/>
      <c r="I182" s="49"/>
      <c r="J182" s="49"/>
      <c r="AA182">
        <f t="shared" si="2"/>
        <v>5</v>
      </c>
      <c r="AB182">
        <f>IF(AND(A182&lt;&gt;"",K182&lt;&gt;"非表示",IF(タスク一覧!$B$4="すべて",TRUE,B182=タスク一覧!$B$4),IF(タスク一覧!$E$4="すべて",TRUE,C182=タスク一覧!$E$4),IF(タスク一覧!$H$4="すべて",TRUE,IF(タスク一覧!$H$4="完了以外",F182&lt;&gt;"完了",F182=タスク一覧!$H$4))),AA182*1000000+COUNTIF($C$5:$C$300,"&lt;"&amp;C182)*1000+ROW(),1000000000000)</f>
        <v>1000000000000</v>
      </c>
    </row>
    <row r="183" spans="1:28">
      <c r="A183" s="46"/>
      <c r="B183" s="46"/>
      <c r="C183" s="46"/>
      <c r="D183" s="46"/>
      <c r="E183" s="46"/>
      <c r="F183" s="46"/>
      <c r="G183" s="47"/>
      <c r="H183" s="48"/>
      <c r="I183" s="49"/>
      <c r="J183" s="49"/>
      <c r="AA183">
        <f t="shared" si="2"/>
        <v>5</v>
      </c>
      <c r="AB183">
        <f>IF(AND(A183&lt;&gt;"",K183&lt;&gt;"非表示",IF(タスク一覧!$B$4="すべて",TRUE,B183=タスク一覧!$B$4),IF(タスク一覧!$E$4="すべて",TRUE,C183=タスク一覧!$E$4),IF(タスク一覧!$H$4="すべて",TRUE,IF(タスク一覧!$H$4="完了以外",F183&lt;&gt;"完了",F183=タスク一覧!$H$4))),AA183*1000000+COUNTIF($C$5:$C$300,"&lt;"&amp;C183)*1000+ROW(),1000000000000)</f>
        <v>1000000000000</v>
      </c>
    </row>
    <row r="184" spans="1:28">
      <c r="A184" s="46"/>
      <c r="B184" s="46"/>
      <c r="C184" s="46"/>
      <c r="D184" s="46"/>
      <c r="E184" s="46"/>
      <c r="F184" s="46"/>
      <c r="G184" s="47"/>
      <c r="H184" s="48"/>
      <c r="I184" s="49"/>
      <c r="J184" s="49"/>
      <c r="AA184">
        <f t="shared" si="2"/>
        <v>5</v>
      </c>
      <c r="AB184">
        <f>IF(AND(A184&lt;&gt;"",K184&lt;&gt;"非表示",IF(タスク一覧!$B$4="すべて",TRUE,B184=タスク一覧!$B$4),IF(タスク一覧!$E$4="すべて",TRUE,C184=タスク一覧!$E$4),IF(タスク一覧!$H$4="すべて",TRUE,IF(タスク一覧!$H$4="完了以外",F184&lt;&gt;"完了",F184=タスク一覧!$H$4))),AA184*1000000+COUNTIF($C$5:$C$300,"&lt;"&amp;C184)*1000+ROW(),1000000000000)</f>
        <v>1000000000000</v>
      </c>
    </row>
    <row r="185" spans="1:28">
      <c r="A185" s="46"/>
      <c r="B185" s="46"/>
      <c r="C185" s="46"/>
      <c r="D185" s="46"/>
      <c r="E185" s="46"/>
      <c r="F185" s="46"/>
      <c r="G185" s="47"/>
      <c r="H185" s="48"/>
      <c r="I185" s="49"/>
      <c r="J185" s="49"/>
      <c r="AA185">
        <f t="shared" si="2"/>
        <v>5</v>
      </c>
      <c r="AB185">
        <f>IF(AND(A185&lt;&gt;"",K185&lt;&gt;"非表示",IF(タスク一覧!$B$4="すべて",TRUE,B185=タスク一覧!$B$4),IF(タスク一覧!$E$4="すべて",TRUE,C185=タスク一覧!$E$4),IF(タスク一覧!$H$4="すべて",TRUE,IF(タスク一覧!$H$4="完了以外",F185&lt;&gt;"完了",F185=タスク一覧!$H$4))),AA185*1000000+COUNTIF($C$5:$C$300,"&lt;"&amp;C185)*1000+ROW(),1000000000000)</f>
        <v>1000000000000</v>
      </c>
    </row>
    <row r="186" spans="1:28">
      <c r="A186" s="46"/>
      <c r="B186" s="46"/>
      <c r="C186" s="46"/>
      <c r="D186" s="46"/>
      <c r="E186" s="46"/>
      <c r="F186" s="46"/>
      <c r="G186" s="47"/>
      <c r="H186" s="48"/>
      <c r="I186" s="49"/>
      <c r="J186" s="49"/>
      <c r="AA186">
        <f t="shared" si="2"/>
        <v>5</v>
      </c>
      <c r="AB186">
        <f>IF(AND(A186&lt;&gt;"",K186&lt;&gt;"非表示",IF(タスク一覧!$B$4="すべて",TRUE,B186=タスク一覧!$B$4),IF(タスク一覧!$E$4="すべて",TRUE,C186=タスク一覧!$E$4),IF(タスク一覧!$H$4="すべて",TRUE,IF(タスク一覧!$H$4="完了以外",F186&lt;&gt;"完了",F186=タスク一覧!$H$4))),AA186*1000000+COUNTIF($C$5:$C$300,"&lt;"&amp;C186)*1000+ROW(),1000000000000)</f>
        <v>1000000000000</v>
      </c>
    </row>
    <row r="187" spans="1:28">
      <c r="A187" s="46"/>
      <c r="B187" s="46"/>
      <c r="C187" s="46"/>
      <c r="D187" s="46"/>
      <c r="E187" s="46"/>
      <c r="F187" s="46"/>
      <c r="G187" s="47"/>
      <c r="H187" s="48"/>
      <c r="I187" s="49"/>
      <c r="J187" s="49"/>
      <c r="AA187">
        <f t="shared" si="2"/>
        <v>5</v>
      </c>
      <c r="AB187">
        <f>IF(AND(A187&lt;&gt;"",K187&lt;&gt;"非表示",IF(タスク一覧!$B$4="すべて",TRUE,B187=タスク一覧!$B$4),IF(タスク一覧!$E$4="すべて",TRUE,C187=タスク一覧!$E$4),IF(タスク一覧!$H$4="すべて",TRUE,IF(タスク一覧!$H$4="完了以外",F187&lt;&gt;"完了",F187=タスク一覧!$H$4))),AA187*1000000+COUNTIF($C$5:$C$300,"&lt;"&amp;C187)*1000+ROW(),1000000000000)</f>
        <v>1000000000000</v>
      </c>
    </row>
    <row r="188" spans="1:28">
      <c r="A188" s="46"/>
      <c r="B188" s="46"/>
      <c r="C188" s="46"/>
      <c r="D188" s="46"/>
      <c r="E188" s="46"/>
      <c r="F188" s="46"/>
      <c r="G188" s="47"/>
      <c r="H188" s="48"/>
      <c r="I188" s="49"/>
      <c r="J188" s="49"/>
      <c r="AA188">
        <f t="shared" si="2"/>
        <v>5</v>
      </c>
      <c r="AB188">
        <f>IF(AND(A188&lt;&gt;"",K188&lt;&gt;"非表示",IF(タスク一覧!$B$4="すべて",TRUE,B188=タスク一覧!$B$4),IF(タスク一覧!$E$4="すべて",TRUE,C188=タスク一覧!$E$4),IF(タスク一覧!$H$4="すべて",TRUE,IF(タスク一覧!$H$4="完了以外",F188&lt;&gt;"完了",F188=タスク一覧!$H$4))),AA188*1000000+COUNTIF($C$5:$C$300,"&lt;"&amp;C188)*1000+ROW(),1000000000000)</f>
        <v>1000000000000</v>
      </c>
    </row>
    <row r="189" spans="1:28">
      <c r="A189" s="46"/>
      <c r="B189" s="46"/>
      <c r="C189" s="46"/>
      <c r="D189" s="46"/>
      <c r="E189" s="46"/>
      <c r="F189" s="46"/>
      <c r="G189" s="47"/>
      <c r="H189" s="48"/>
      <c r="I189" s="49"/>
      <c r="J189" s="49"/>
      <c r="AA189">
        <f t="shared" si="2"/>
        <v>5</v>
      </c>
      <c r="AB189">
        <f>IF(AND(A189&lt;&gt;"",K189&lt;&gt;"非表示",IF(タスク一覧!$B$4="すべて",TRUE,B189=タスク一覧!$B$4),IF(タスク一覧!$E$4="すべて",TRUE,C189=タスク一覧!$E$4),IF(タスク一覧!$H$4="すべて",TRUE,IF(タスク一覧!$H$4="完了以外",F189&lt;&gt;"完了",F189=タスク一覧!$H$4))),AA189*1000000+COUNTIF($C$5:$C$300,"&lt;"&amp;C189)*1000+ROW(),1000000000000)</f>
        <v>1000000000000</v>
      </c>
    </row>
    <row r="190" spans="1:28">
      <c r="A190" s="46"/>
      <c r="B190" s="46"/>
      <c r="C190" s="46"/>
      <c r="D190" s="46"/>
      <c r="E190" s="46"/>
      <c r="F190" s="46"/>
      <c r="G190" s="47"/>
      <c r="H190" s="48"/>
      <c r="I190" s="49"/>
      <c r="J190" s="49"/>
      <c r="AA190">
        <f t="shared" si="2"/>
        <v>5</v>
      </c>
      <c r="AB190">
        <f>IF(AND(A190&lt;&gt;"",K190&lt;&gt;"非表示",IF(タスク一覧!$B$4="すべて",TRUE,B190=タスク一覧!$B$4),IF(タスク一覧!$E$4="すべて",TRUE,C190=タスク一覧!$E$4),IF(タスク一覧!$H$4="すべて",TRUE,IF(タスク一覧!$H$4="完了以外",F190&lt;&gt;"完了",F190=タスク一覧!$H$4))),AA190*1000000+COUNTIF($C$5:$C$300,"&lt;"&amp;C190)*1000+ROW(),1000000000000)</f>
        <v>1000000000000</v>
      </c>
    </row>
    <row r="191" spans="1:28">
      <c r="A191" s="46"/>
      <c r="B191" s="46"/>
      <c r="C191" s="46"/>
      <c r="D191" s="46"/>
      <c r="E191" s="46"/>
      <c r="F191" s="46"/>
      <c r="G191" s="47"/>
      <c r="H191" s="48"/>
      <c r="I191" s="49"/>
      <c r="J191" s="49"/>
      <c r="AA191">
        <f t="shared" si="2"/>
        <v>5</v>
      </c>
      <c r="AB191">
        <f>IF(AND(A191&lt;&gt;"",K191&lt;&gt;"非表示",IF(タスク一覧!$B$4="すべて",TRUE,B191=タスク一覧!$B$4),IF(タスク一覧!$E$4="すべて",TRUE,C191=タスク一覧!$E$4),IF(タスク一覧!$H$4="すべて",TRUE,IF(タスク一覧!$H$4="完了以外",F191&lt;&gt;"完了",F191=タスク一覧!$H$4))),AA191*1000000+COUNTIF($C$5:$C$300,"&lt;"&amp;C191)*1000+ROW(),1000000000000)</f>
        <v>1000000000000</v>
      </c>
    </row>
    <row r="192" spans="1:28">
      <c r="A192" s="46"/>
      <c r="B192" s="46"/>
      <c r="C192" s="46"/>
      <c r="D192" s="46"/>
      <c r="E192" s="46"/>
      <c r="F192" s="46"/>
      <c r="G192" s="47"/>
      <c r="H192" s="48"/>
      <c r="I192" s="49"/>
      <c r="J192" s="49"/>
      <c r="AA192">
        <f t="shared" si="2"/>
        <v>5</v>
      </c>
      <c r="AB192">
        <f>IF(AND(A192&lt;&gt;"",K192&lt;&gt;"非表示",IF(タスク一覧!$B$4="すべて",TRUE,B192=タスク一覧!$B$4),IF(タスク一覧!$E$4="すべて",TRUE,C192=タスク一覧!$E$4),IF(タスク一覧!$H$4="すべて",TRUE,IF(タスク一覧!$H$4="完了以外",F192&lt;&gt;"完了",F192=タスク一覧!$H$4))),AA192*1000000+COUNTIF($C$5:$C$300,"&lt;"&amp;C192)*1000+ROW(),1000000000000)</f>
        <v>1000000000000</v>
      </c>
    </row>
    <row r="193" spans="1:28">
      <c r="A193" s="46"/>
      <c r="B193" s="46"/>
      <c r="C193" s="46"/>
      <c r="D193" s="46"/>
      <c r="E193" s="46"/>
      <c r="F193" s="46"/>
      <c r="G193" s="47"/>
      <c r="H193" s="48"/>
      <c r="I193" s="49"/>
      <c r="J193" s="49"/>
      <c r="AA193">
        <f t="shared" si="2"/>
        <v>5</v>
      </c>
      <c r="AB193">
        <f>IF(AND(A193&lt;&gt;"",K193&lt;&gt;"非表示",IF(タスク一覧!$B$4="すべて",TRUE,B193=タスク一覧!$B$4),IF(タスク一覧!$E$4="すべて",TRUE,C193=タスク一覧!$E$4),IF(タスク一覧!$H$4="すべて",TRUE,IF(タスク一覧!$H$4="完了以外",F193&lt;&gt;"完了",F193=タスク一覧!$H$4))),AA193*1000000+COUNTIF($C$5:$C$300,"&lt;"&amp;C193)*1000+ROW(),1000000000000)</f>
        <v>1000000000000</v>
      </c>
    </row>
    <row r="194" spans="1:28">
      <c r="A194" s="46"/>
      <c r="B194" s="46"/>
      <c r="C194" s="46"/>
      <c r="D194" s="46"/>
      <c r="E194" s="46"/>
      <c r="F194" s="46"/>
      <c r="G194" s="47"/>
      <c r="H194" s="48"/>
      <c r="I194" s="49"/>
      <c r="J194" s="49"/>
      <c r="AA194">
        <f t="shared" si="2"/>
        <v>5</v>
      </c>
      <c r="AB194">
        <f>IF(AND(A194&lt;&gt;"",K194&lt;&gt;"非表示",IF(タスク一覧!$B$4="すべて",TRUE,B194=タスク一覧!$B$4),IF(タスク一覧!$E$4="すべて",TRUE,C194=タスク一覧!$E$4),IF(タスク一覧!$H$4="すべて",TRUE,IF(タスク一覧!$H$4="完了以外",F194&lt;&gt;"完了",F194=タスク一覧!$H$4))),AA194*1000000+COUNTIF($C$5:$C$300,"&lt;"&amp;C194)*1000+ROW(),1000000000000)</f>
        <v>1000000000000</v>
      </c>
    </row>
    <row r="195" spans="1:28">
      <c r="A195" s="46"/>
      <c r="B195" s="46"/>
      <c r="C195" s="46"/>
      <c r="D195" s="46"/>
      <c r="E195" s="46"/>
      <c r="F195" s="46"/>
      <c r="G195" s="47"/>
      <c r="H195" s="48"/>
      <c r="I195" s="49"/>
      <c r="J195" s="49"/>
      <c r="AA195">
        <f t="shared" si="2"/>
        <v>5</v>
      </c>
      <c r="AB195">
        <f>IF(AND(A195&lt;&gt;"",K195&lt;&gt;"非表示",IF(タスク一覧!$B$4="すべて",TRUE,B195=タスク一覧!$B$4),IF(タスク一覧!$E$4="すべて",TRUE,C195=タスク一覧!$E$4),IF(タスク一覧!$H$4="すべて",TRUE,IF(タスク一覧!$H$4="完了以外",F195&lt;&gt;"完了",F195=タスク一覧!$H$4))),AA195*1000000+COUNTIF($C$5:$C$300,"&lt;"&amp;C195)*1000+ROW(),1000000000000)</f>
        <v>1000000000000</v>
      </c>
    </row>
    <row r="196" spans="1:28">
      <c r="A196" s="46"/>
      <c r="B196" s="46"/>
      <c r="C196" s="46"/>
      <c r="D196" s="46"/>
      <c r="E196" s="46"/>
      <c r="F196" s="46"/>
      <c r="G196" s="47"/>
      <c r="H196" s="48"/>
      <c r="I196" s="49"/>
      <c r="J196" s="49"/>
      <c r="AA196">
        <f t="shared" si="2"/>
        <v>5</v>
      </c>
      <c r="AB196">
        <f>IF(AND(A196&lt;&gt;"",K196&lt;&gt;"非表示",IF(タスク一覧!$B$4="すべて",TRUE,B196=タスク一覧!$B$4),IF(タスク一覧!$E$4="すべて",TRUE,C196=タスク一覧!$E$4),IF(タスク一覧!$H$4="すべて",TRUE,IF(タスク一覧!$H$4="完了以外",F196&lt;&gt;"完了",F196=タスク一覧!$H$4))),AA196*1000000+COUNTIF($C$5:$C$300,"&lt;"&amp;C196)*1000+ROW(),1000000000000)</f>
        <v>1000000000000</v>
      </c>
    </row>
    <row r="197" spans="1:28">
      <c r="A197" s="46"/>
      <c r="B197" s="46"/>
      <c r="C197" s="46"/>
      <c r="D197" s="46"/>
      <c r="E197" s="46"/>
      <c r="F197" s="46"/>
      <c r="G197" s="47"/>
      <c r="H197" s="48"/>
      <c r="I197" s="49"/>
      <c r="J197" s="49"/>
      <c r="AA197">
        <f t="shared" ref="AA197:AA260" si="3">IF(B197="プロト",1,IF(B197="アルファ",2,IF(B197="ベータ",3,IF(B197="マスター",4,5))))</f>
        <v>5</v>
      </c>
      <c r="AB197">
        <f>IF(AND(A197&lt;&gt;"",K197&lt;&gt;"非表示",IF(タスク一覧!$B$4="すべて",TRUE,B197=タスク一覧!$B$4),IF(タスク一覧!$E$4="すべて",TRUE,C197=タスク一覧!$E$4),IF(タスク一覧!$H$4="すべて",TRUE,IF(タスク一覧!$H$4="完了以外",F197&lt;&gt;"完了",F197=タスク一覧!$H$4))),AA197*1000000+COUNTIF($C$5:$C$300,"&lt;"&amp;C197)*1000+ROW(),1000000000000)</f>
        <v>1000000000000</v>
      </c>
    </row>
    <row r="198" spans="1:28">
      <c r="A198" s="46"/>
      <c r="B198" s="46"/>
      <c r="C198" s="46"/>
      <c r="D198" s="46"/>
      <c r="E198" s="46"/>
      <c r="F198" s="46"/>
      <c r="G198" s="47"/>
      <c r="H198" s="48"/>
      <c r="I198" s="49"/>
      <c r="J198" s="49"/>
      <c r="AA198">
        <f t="shared" si="3"/>
        <v>5</v>
      </c>
      <c r="AB198">
        <f>IF(AND(A198&lt;&gt;"",K198&lt;&gt;"非表示",IF(タスク一覧!$B$4="すべて",TRUE,B198=タスク一覧!$B$4),IF(タスク一覧!$E$4="すべて",TRUE,C198=タスク一覧!$E$4),IF(タスク一覧!$H$4="すべて",TRUE,IF(タスク一覧!$H$4="完了以外",F198&lt;&gt;"完了",F198=タスク一覧!$H$4))),AA198*1000000+COUNTIF($C$5:$C$300,"&lt;"&amp;C198)*1000+ROW(),1000000000000)</f>
        <v>1000000000000</v>
      </c>
    </row>
    <row r="199" spans="1:28">
      <c r="A199" s="46"/>
      <c r="B199" s="46"/>
      <c r="C199" s="46"/>
      <c r="D199" s="46"/>
      <c r="E199" s="46"/>
      <c r="F199" s="46"/>
      <c r="G199" s="47"/>
      <c r="H199" s="48"/>
      <c r="I199" s="49"/>
      <c r="J199" s="49"/>
      <c r="AA199">
        <f t="shared" si="3"/>
        <v>5</v>
      </c>
      <c r="AB199">
        <f>IF(AND(A199&lt;&gt;"",K199&lt;&gt;"非表示",IF(タスク一覧!$B$4="すべて",TRUE,B199=タスク一覧!$B$4),IF(タスク一覧!$E$4="すべて",TRUE,C199=タスク一覧!$E$4),IF(タスク一覧!$H$4="すべて",TRUE,IF(タスク一覧!$H$4="完了以外",F199&lt;&gt;"完了",F199=タスク一覧!$H$4))),AA199*1000000+COUNTIF($C$5:$C$300,"&lt;"&amp;C199)*1000+ROW(),1000000000000)</f>
        <v>1000000000000</v>
      </c>
    </row>
    <row r="200" spans="1:28">
      <c r="A200" s="46"/>
      <c r="B200" s="46"/>
      <c r="C200" s="46"/>
      <c r="D200" s="46"/>
      <c r="E200" s="46"/>
      <c r="F200" s="46"/>
      <c r="G200" s="47"/>
      <c r="H200" s="48"/>
      <c r="I200" s="49"/>
      <c r="J200" s="49"/>
      <c r="AA200">
        <f t="shared" si="3"/>
        <v>5</v>
      </c>
      <c r="AB200">
        <f>IF(AND(A200&lt;&gt;"",K200&lt;&gt;"非表示",IF(タスク一覧!$B$4="すべて",TRUE,B200=タスク一覧!$B$4),IF(タスク一覧!$E$4="すべて",TRUE,C200=タスク一覧!$E$4),IF(タスク一覧!$H$4="すべて",TRUE,IF(タスク一覧!$H$4="完了以外",F200&lt;&gt;"完了",F200=タスク一覧!$H$4))),AA200*1000000+COUNTIF($C$5:$C$300,"&lt;"&amp;C200)*1000+ROW(),1000000000000)</f>
        <v>1000000000000</v>
      </c>
    </row>
    <row r="201" spans="1:28">
      <c r="A201" s="46"/>
      <c r="B201" s="46"/>
      <c r="C201" s="46"/>
      <c r="D201" s="46"/>
      <c r="E201" s="46"/>
      <c r="F201" s="46"/>
      <c r="G201" s="47"/>
      <c r="H201" s="48"/>
      <c r="I201" s="49"/>
      <c r="J201" s="49"/>
      <c r="AA201">
        <f t="shared" si="3"/>
        <v>5</v>
      </c>
      <c r="AB201">
        <f>IF(AND(A201&lt;&gt;"",K201&lt;&gt;"非表示",IF(タスク一覧!$B$4="すべて",TRUE,B201=タスク一覧!$B$4),IF(タスク一覧!$E$4="すべて",TRUE,C201=タスク一覧!$E$4),IF(タスク一覧!$H$4="すべて",TRUE,IF(タスク一覧!$H$4="完了以外",F201&lt;&gt;"完了",F201=タスク一覧!$H$4))),AA201*1000000+COUNTIF($C$5:$C$300,"&lt;"&amp;C201)*1000+ROW(),1000000000000)</f>
        <v>1000000000000</v>
      </c>
    </row>
    <row r="202" spans="1:28">
      <c r="A202" s="46"/>
      <c r="B202" s="46"/>
      <c r="C202" s="46"/>
      <c r="D202" s="46"/>
      <c r="E202" s="46"/>
      <c r="F202" s="46"/>
      <c r="G202" s="47"/>
      <c r="H202" s="48"/>
      <c r="I202" s="49"/>
      <c r="J202" s="49"/>
      <c r="AA202">
        <f t="shared" si="3"/>
        <v>5</v>
      </c>
      <c r="AB202">
        <f>IF(AND(A202&lt;&gt;"",K202&lt;&gt;"非表示",IF(タスク一覧!$B$4="すべて",TRUE,B202=タスク一覧!$B$4),IF(タスク一覧!$E$4="すべて",TRUE,C202=タスク一覧!$E$4),IF(タスク一覧!$H$4="すべて",TRUE,IF(タスク一覧!$H$4="完了以外",F202&lt;&gt;"完了",F202=タスク一覧!$H$4))),AA202*1000000+COUNTIF($C$5:$C$300,"&lt;"&amp;C202)*1000+ROW(),1000000000000)</f>
        <v>1000000000000</v>
      </c>
    </row>
    <row r="203" spans="1:28">
      <c r="A203" s="46"/>
      <c r="B203" s="46"/>
      <c r="C203" s="46"/>
      <c r="D203" s="46"/>
      <c r="E203" s="46"/>
      <c r="F203" s="46"/>
      <c r="G203" s="47"/>
      <c r="H203" s="48"/>
      <c r="I203" s="49"/>
      <c r="J203" s="49"/>
      <c r="AA203">
        <f t="shared" si="3"/>
        <v>5</v>
      </c>
      <c r="AB203">
        <f>IF(AND(A203&lt;&gt;"",K203&lt;&gt;"非表示",IF(タスク一覧!$B$4="すべて",TRUE,B203=タスク一覧!$B$4),IF(タスク一覧!$E$4="すべて",TRUE,C203=タスク一覧!$E$4),IF(タスク一覧!$H$4="すべて",TRUE,IF(タスク一覧!$H$4="完了以外",F203&lt;&gt;"完了",F203=タスク一覧!$H$4))),AA203*1000000+COUNTIF($C$5:$C$300,"&lt;"&amp;C203)*1000+ROW(),1000000000000)</f>
        <v>1000000000000</v>
      </c>
    </row>
    <row r="204" spans="1:28">
      <c r="A204" s="46"/>
      <c r="B204" s="46"/>
      <c r="C204" s="46"/>
      <c r="D204" s="46"/>
      <c r="E204" s="46"/>
      <c r="F204" s="46"/>
      <c r="G204" s="47"/>
      <c r="H204" s="48"/>
      <c r="I204" s="49"/>
      <c r="J204" s="49"/>
      <c r="AA204">
        <f t="shared" si="3"/>
        <v>5</v>
      </c>
      <c r="AB204">
        <f>IF(AND(A204&lt;&gt;"",K204&lt;&gt;"非表示",IF(タスク一覧!$B$4="すべて",TRUE,B204=タスク一覧!$B$4),IF(タスク一覧!$E$4="すべて",TRUE,C204=タスク一覧!$E$4),IF(タスク一覧!$H$4="すべて",TRUE,IF(タスク一覧!$H$4="完了以外",F204&lt;&gt;"完了",F204=タスク一覧!$H$4))),AA204*1000000+COUNTIF($C$5:$C$300,"&lt;"&amp;C204)*1000+ROW(),1000000000000)</f>
        <v>1000000000000</v>
      </c>
    </row>
    <row r="205" spans="1:28">
      <c r="A205" s="46"/>
      <c r="B205" s="46"/>
      <c r="C205" s="46"/>
      <c r="D205" s="46"/>
      <c r="E205" s="46"/>
      <c r="F205" s="46"/>
      <c r="G205" s="47"/>
      <c r="H205" s="48"/>
      <c r="I205" s="49"/>
      <c r="J205" s="49"/>
      <c r="AA205">
        <f t="shared" si="3"/>
        <v>5</v>
      </c>
      <c r="AB205">
        <f>IF(AND(A205&lt;&gt;"",K205&lt;&gt;"非表示",IF(タスク一覧!$B$4="すべて",TRUE,B205=タスク一覧!$B$4),IF(タスク一覧!$E$4="すべて",TRUE,C205=タスク一覧!$E$4),IF(タスク一覧!$H$4="すべて",TRUE,IF(タスク一覧!$H$4="完了以外",F205&lt;&gt;"完了",F205=タスク一覧!$H$4))),AA205*1000000+COUNTIF($C$5:$C$300,"&lt;"&amp;C205)*1000+ROW(),1000000000000)</f>
        <v>1000000000000</v>
      </c>
    </row>
    <row r="206" spans="1:28">
      <c r="A206" s="46"/>
      <c r="B206" s="46"/>
      <c r="C206" s="46"/>
      <c r="D206" s="46"/>
      <c r="E206" s="46"/>
      <c r="F206" s="46"/>
      <c r="G206" s="47"/>
      <c r="H206" s="48"/>
      <c r="I206" s="49"/>
      <c r="J206" s="49"/>
      <c r="AA206">
        <f t="shared" si="3"/>
        <v>5</v>
      </c>
      <c r="AB206">
        <f>IF(AND(A206&lt;&gt;"",K206&lt;&gt;"非表示",IF(タスク一覧!$B$4="すべて",TRUE,B206=タスク一覧!$B$4),IF(タスク一覧!$E$4="すべて",TRUE,C206=タスク一覧!$E$4),IF(タスク一覧!$H$4="すべて",TRUE,IF(タスク一覧!$H$4="完了以外",F206&lt;&gt;"完了",F206=タスク一覧!$H$4))),AA206*1000000+COUNTIF($C$5:$C$300,"&lt;"&amp;C206)*1000+ROW(),1000000000000)</f>
        <v>1000000000000</v>
      </c>
    </row>
    <row r="207" spans="1:28">
      <c r="A207" s="46"/>
      <c r="B207" s="46"/>
      <c r="C207" s="46"/>
      <c r="D207" s="46"/>
      <c r="E207" s="46"/>
      <c r="F207" s="46"/>
      <c r="G207" s="47"/>
      <c r="H207" s="48"/>
      <c r="I207" s="49"/>
      <c r="J207" s="49"/>
      <c r="AA207">
        <f t="shared" si="3"/>
        <v>5</v>
      </c>
      <c r="AB207">
        <f>IF(AND(A207&lt;&gt;"",K207&lt;&gt;"非表示",IF(タスク一覧!$B$4="すべて",TRUE,B207=タスク一覧!$B$4),IF(タスク一覧!$E$4="すべて",TRUE,C207=タスク一覧!$E$4),IF(タスク一覧!$H$4="すべて",TRUE,IF(タスク一覧!$H$4="完了以外",F207&lt;&gt;"完了",F207=タスク一覧!$H$4))),AA207*1000000+COUNTIF($C$5:$C$300,"&lt;"&amp;C207)*1000+ROW(),1000000000000)</f>
        <v>1000000000000</v>
      </c>
    </row>
    <row r="208" spans="1:28">
      <c r="A208" s="46"/>
      <c r="B208" s="46"/>
      <c r="C208" s="46"/>
      <c r="D208" s="46"/>
      <c r="E208" s="46"/>
      <c r="F208" s="46"/>
      <c r="G208" s="47"/>
      <c r="H208" s="48"/>
      <c r="I208" s="49"/>
      <c r="J208" s="49"/>
      <c r="AA208">
        <f t="shared" si="3"/>
        <v>5</v>
      </c>
      <c r="AB208">
        <f>IF(AND(A208&lt;&gt;"",K208&lt;&gt;"非表示",IF(タスク一覧!$B$4="すべて",TRUE,B208=タスク一覧!$B$4),IF(タスク一覧!$E$4="すべて",TRUE,C208=タスク一覧!$E$4),IF(タスク一覧!$H$4="すべて",TRUE,IF(タスク一覧!$H$4="完了以外",F208&lt;&gt;"完了",F208=タスク一覧!$H$4))),AA208*1000000+COUNTIF($C$5:$C$300,"&lt;"&amp;C208)*1000+ROW(),1000000000000)</f>
        <v>1000000000000</v>
      </c>
    </row>
    <row r="209" spans="1:28">
      <c r="A209" s="46"/>
      <c r="B209" s="46"/>
      <c r="C209" s="46"/>
      <c r="D209" s="46"/>
      <c r="E209" s="46"/>
      <c r="F209" s="46"/>
      <c r="G209" s="47"/>
      <c r="H209" s="48"/>
      <c r="I209" s="49"/>
      <c r="J209" s="49"/>
      <c r="AA209">
        <f t="shared" si="3"/>
        <v>5</v>
      </c>
      <c r="AB209">
        <f>IF(AND(A209&lt;&gt;"",K209&lt;&gt;"非表示",IF(タスク一覧!$B$4="すべて",TRUE,B209=タスク一覧!$B$4),IF(タスク一覧!$E$4="すべて",TRUE,C209=タスク一覧!$E$4),IF(タスク一覧!$H$4="すべて",TRUE,IF(タスク一覧!$H$4="完了以外",F209&lt;&gt;"完了",F209=タスク一覧!$H$4))),AA209*1000000+COUNTIF($C$5:$C$300,"&lt;"&amp;C209)*1000+ROW(),1000000000000)</f>
        <v>1000000000000</v>
      </c>
    </row>
    <row r="210" spans="1:28">
      <c r="A210" s="46"/>
      <c r="B210" s="46"/>
      <c r="C210" s="46"/>
      <c r="D210" s="46"/>
      <c r="E210" s="46"/>
      <c r="F210" s="46"/>
      <c r="G210" s="47"/>
      <c r="H210" s="48"/>
      <c r="I210" s="49"/>
      <c r="J210" s="49"/>
      <c r="AA210">
        <f t="shared" si="3"/>
        <v>5</v>
      </c>
      <c r="AB210">
        <f>IF(AND(A210&lt;&gt;"",K210&lt;&gt;"非表示",IF(タスク一覧!$B$4="すべて",TRUE,B210=タスク一覧!$B$4),IF(タスク一覧!$E$4="すべて",TRUE,C210=タスク一覧!$E$4),IF(タスク一覧!$H$4="すべて",TRUE,IF(タスク一覧!$H$4="完了以外",F210&lt;&gt;"完了",F210=タスク一覧!$H$4))),AA210*1000000+COUNTIF($C$5:$C$300,"&lt;"&amp;C210)*1000+ROW(),1000000000000)</f>
        <v>1000000000000</v>
      </c>
    </row>
    <row r="211" spans="1:28">
      <c r="A211" s="46"/>
      <c r="B211" s="46"/>
      <c r="C211" s="46"/>
      <c r="D211" s="46"/>
      <c r="E211" s="46"/>
      <c r="F211" s="46"/>
      <c r="G211" s="47"/>
      <c r="H211" s="48"/>
      <c r="I211" s="49"/>
      <c r="J211" s="49"/>
      <c r="AA211">
        <f t="shared" si="3"/>
        <v>5</v>
      </c>
      <c r="AB211">
        <f>IF(AND(A211&lt;&gt;"",K211&lt;&gt;"非表示",IF(タスク一覧!$B$4="すべて",TRUE,B211=タスク一覧!$B$4),IF(タスク一覧!$E$4="すべて",TRUE,C211=タスク一覧!$E$4),IF(タスク一覧!$H$4="すべて",TRUE,IF(タスク一覧!$H$4="完了以外",F211&lt;&gt;"完了",F211=タスク一覧!$H$4))),AA211*1000000+COUNTIF($C$5:$C$300,"&lt;"&amp;C211)*1000+ROW(),1000000000000)</f>
        <v>1000000000000</v>
      </c>
    </row>
    <row r="212" spans="1:28">
      <c r="A212" s="46"/>
      <c r="B212" s="46"/>
      <c r="C212" s="46"/>
      <c r="D212" s="46"/>
      <c r="E212" s="46"/>
      <c r="F212" s="46"/>
      <c r="G212" s="47"/>
      <c r="H212" s="48"/>
      <c r="I212" s="49"/>
      <c r="J212" s="49"/>
      <c r="AA212">
        <f t="shared" si="3"/>
        <v>5</v>
      </c>
      <c r="AB212">
        <f>IF(AND(A212&lt;&gt;"",K212&lt;&gt;"非表示",IF(タスク一覧!$B$4="すべて",TRUE,B212=タスク一覧!$B$4),IF(タスク一覧!$E$4="すべて",TRUE,C212=タスク一覧!$E$4),IF(タスク一覧!$H$4="すべて",TRUE,IF(タスク一覧!$H$4="完了以外",F212&lt;&gt;"完了",F212=タスク一覧!$H$4))),AA212*1000000+COUNTIF($C$5:$C$300,"&lt;"&amp;C212)*1000+ROW(),1000000000000)</f>
        <v>1000000000000</v>
      </c>
    </row>
    <row r="213" spans="1:28">
      <c r="A213" s="46"/>
      <c r="B213" s="46"/>
      <c r="C213" s="46"/>
      <c r="D213" s="46"/>
      <c r="E213" s="46"/>
      <c r="F213" s="46"/>
      <c r="G213" s="47"/>
      <c r="H213" s="48"/>
      <c r="I213" s="49"/>
      <c r="J213" s="49"/>
      <c r="AA213">
        <f t="shared" si="3"/>
        <v>5</v>
      </c>
      <c r="AB213">
        <f>IF(AND(A213&lt;&gt;"",K213&lt;&gt;"非表示",IF(タスク一覧!$B$4="すべて",TRUE,B213=タスク一覧!$B$4),IF(タスク一覧!$E$4="すべて",TRUE,C213=タスク一覧!$E$4),IF(タスク一覧!$H$4="すべて",TRUE,IF(タスク一覧!$H$4="完了以外",F213&lt;&gt;"完了",F213=タスク一覧!$H$4))),AA213*1000000+COUNTIF($C$5:$C$300,"&lt;"&amp;C213)*1000+ROW(),1000000000000)</f>
        <v>1000000000000</v>
      </c>
    </row>
    <row r="214" spans="1:28">
      <c r="A214" s="46"/>
      <c r="B214" s="46"/>
      <c r="C214" s="46"/>
      <c r="D214" s="46"/>
      <c r="E214" s="46"/>
      <c r="F214" s="46"/>
      <c r="G214" s="47"/>
      <c r="H214" s="48"/>
      <c r="I214" s="49"/>
      <c r="J214" s="49"/>
      <c r="AA214">
        <f t="shared" si="3"/>
        <v>5</v>
      </c>
      <c r="AB214">
        <f>IF(AND(A214&lt;&gt;"",K214&lt;&gt;"非表示",IF(タスク一覧!$B$4="すべて",TRUE,B214=タスク一覧!$B$4),IF(タスク一覧!$E$4="すべて",TRUE,C214=タスク一覧!$E$4),IF(タスク一覧!$H$4="すべて",TRUE,IF(タスク一覧!$H$4="完了以外",F214&lt;&gt;"完了",F214=タスク一覧!$H$4))),AA214*1000000+COUNTIF($C$5:$C$300,"&lt;"&amp;C214)*1000+ROW(),1000000000000)</f>
        <v>1000000000000</v>
      </c>
    </row>
    <row r="215" spans="1:28">
      <c r="A215" s="46"/>
      <c r="B215" s="46"/>
      <c r="C215" s="46"/>
      <c r="D215" s="46"/>
      <c r="E215" s="46"/>
      <c r="F215" s="46"/>
      <c r="G215" s="47"/>
      <c r="H215" s="48"/>
      <c r="I215" s="49"/>
      <c r="J215" s="49"/>
      <c r="AA215">
        <f t="shared" si="3"/>
        <v>5</v>
      </c>
      <c r="AB215">
        <f>IF(AND(A215&lt;&gt;"",K215&lt;&gt;"非表示",IF(タスク一覧!$B$4="すべて",TRUE,B215=タスク一覧!$B$4),IF(タスク一覧!$E$4="すべて",TRUE,C215=タスク一覧!$E$4),IF(タスク一覧!$H$4="すべて",TRUE,IF(タスク一覧!$H$4="完了以外",F215&lt;&gt;"完了",F215=タスク一覧!$H$4))),AA215*1000000+COUNTIF($C$5:$C$300,"&lt;"&amp;C215)*1000+ROW(),1000000000000)</f>
        <v>1000000000000</v>
      </c>
    </row>
    <row r="216" spans="1:28">
      <c r="A216" s="46"/>
      <c r="B216" s="46"/>
      <c r="C216" s="46"/>
      <c r="D216" s="46"/>
      <c r="E216" s="46"/>
      <c r="F216" s="46"/>
      <c r="G216" s="47"/>
      <c r="H216" s="48"/>
      <c r="I216" s="49"/>
      <c r="J216" s="49"/>
      <c r="AA216">
        <f t="shared" si="3"/>
        <v>5</v>
      </c>
      <c r="AB216">
        <f>IF(AND(A216&lt;&gt;"",K216&lt;&gt;"非表示",IF(タスク一覧!$B$4="すべて",TRUE,B216=タスク一覧!$B$4),IF(タスク一覧!$E$4="すべて",TRUE,C216=タスク一覧!$E$4),IF(タスク一覧!$H$4="すべて",TRUE,IF(タスク一覧!$H$4="完了以外",F216&lt;&gt;"完了",F216=タスク一覧!$H$4))),AA216*1000000+COUNTIF($C$5:$C$300,"&lt;"&amp;C216)*1000+ROW(),1000000000000)</f>
        <v>1000000000000</v>
      </c>
    </row>
    <row r="217" spans="1:28">
      <c r="A217" s="46"/>
      <c r="B217" s="46"/>
      <c r="C217" s="46"/>
      <c r="D217" s="46"/>
      <c r="E217" s="46"/>
      <c r="F217" s="46"/>
      <c r="G217" s="47"/>
      <c r="H217" s="48"/>
      <c r="I217" s="49"/>
      <c r="J217" s="49"/>
      <c r="AA217">
        <f t="shared" si="3"/>
        <v>5</v>
      </c>
      <c r="AB217">
        <f>IF(AND(A217&lt;&gt;"",K217&lt;&gt;"非表示",IF(タスク一覧!$B$4="すべて",TRUE,B217=タスク一覧!$B$4),IF(タスク一覧!$E$4="すべて",TRUE,C217=タスク一覧!$E$4),IF(タスク一覧!$H$4="すべて",TRUE,IF(タスク一覧!$H$4="完了以外",F217&lt;&gt;"完了",F217=タスク一覧!$H$4))),AA217*1000000+COUNTIF($C$5:$C$300,"&lt;"&amp;C217)*1000+ROW(),1000000000000)</f>
        <v>1000000000000</v>
      </c>
    </row>
    <row r="218" spans="1:28">
      <c r="A218" s="46"/>
      <c r="B218" s="46"/>
      <c r="C218" s="46"/>
      <c r="D218" s="46"/>
      <c r="E218" s="46"/>
      <c r="F218" s="46"/>
      <c r="G218" s="47"/>
      <c r="H218" s="48"/>
      <c r="I218" s="49"/>
      <c r="J218" s="49"/>
      <c r="AA218">
        <f t="shared" si="3"/>
        <v>5</v>
      </c>
      <c r="AB218">
        <f>IF(AND(A218&lt;&gt;"",K218&lt;&gt;"非表示",IF(タスク一覧!$B$4="すべて",TRUE,B218=タスク一覧!$B$4),IF(タスク一覧!$E$4="すべて",TRUE,C218=タスク一覧!$E$4),IF(タスク一覧!$H$4="すべて",TRUE,IF(タスク一覧!$H$4="完了以外",F218&lt;&gt;"完了",F218=タスク一覧!$H$4))),AA218*1000000+COUNTIF($C$5:$C$300,"&lt;"&amp;C218)*1000+ROW(),1000000000000)</f>
        <v>1000000000000</v>
      </c>
    </row>
    <row r="219" spans="1:28">
      <c r="A219" s="46"/>
      <c r="B219" s="46"/>
      <c r="C219" s="46"/>
      <c r="D219" s="46"/>
      <c r="E219" s="46"/>
      <c r="F219" s="46"/>
      <c r="G219" s="47"/>
      <c r="H219" s="48"/>
      <c r="I219" s="49"/>
      <c r="J219" s="49"/>
      <c r="AA219">
        <f t="shared" si="3"/>
        <v>5</v>
      </c>
      <c r="AB219">
        <f>IF(AND(A219&lt;&gt;"",K219&lt;&gt;"非表示",IF(タスク一覧!$B$4="すべて",TRUE,B219=タスク一覧!$B$4),IF(タスク一覧!$E$4="すべて",TRUE,C219=タスク一覧!$E$4),IF(タスク一覧!$H$4="すべて",TRUE,IF(タスク一覧!$H$4="完了以外",F219&lt;&gt;"完了",F219=タスク一覧!$H$4))),AA219*1000000+COUNTIF($C$5:$C$300,"&lt;"&amp;C219)*1000+ROW(),1000000000000)</f>
        <v>1000000000000</v>
      </c>
    </row>
    <row r="220" spans="1:28">
      <c r="A220" s="46"/>
      <c r="B220" s="46"/>
      <c r="C220" s="46"/>
      <c r="D220" s="46"/>
      <c r="E220" s="46"/>
      <c r="F220" s="46"/>
      <c r="G220" s="47"/>
      <c r="H220" s="48"/>
      <c r="I220" s="49"/>
      <c r="J220" s="49"/>
      <c r="AA220">
        <f t="shared" si="3"/>
        <v>5</v>
      </c>
      <c r="AB220">
        <f>IF(AND(A220&lt;&gt;"",K220&lt;&gt;"非表示",IF(タスク一覧!$B$4="すべて",TRUE,B220=タスク一覧!$B$4),IF(タスク一覧!$E$4="すべて",TRUE,C220=タスク一覧!$E$4),IF(タスク一覧!$H$4="すべて",TRUE,IF(タスク一覧!$H$4="完了以外",F220&lt;&gt;"完了",F220=タスク一覧!$H$4))),AA220*1000000+COUNTIF($C$5:$C$300,"&lt;"&amp;C220)*1000+ROW(),1000000000000)</f>
        <v>1000000000000</v>
      </c>
    </row>
    <row r="221" spans="1:28">
      <c r="A221" s="46"/>
      <c r="B221" s="46"/>
      <c r="C221" s="46"/>
      <c r="D221" s="46"/>
      <c r="E221" s="46"/>
      <c r="F221" s="46"/>
      <c r="G221" s="47"/>
      <c r="H221" s="48"/>
      <c r="I221" s="49"/>
      <c r="J221" s="49"/>
      <c r="AA221">
        <f t="shared" si="3"/>
        <v>5</v>
      </c>
      <c r="AB221">
        <f>IF(AND(A221&lt;&gt;"",K221&lt;&gt;"非表示",IF(タスク一覧!$B$4="すべて",TRUE,B221=タスク一覧!$B$4),IF(タスク一覧!$E$4="すべて",TRUE,C221=タスク一覧!$E$4),IF(タスク一覧!$H$4="すべて",TRUE,IF(タスク一覧!$H$4="完了以外",F221&lt;&gt;"完了",F221=タスク一覧!$H$4))),AA221*1000000+COUNTIF($C$5:$C$300,"&lt;"&amp;C221)*1000+ROW(),1000000000000)</f>
        <v>1000000000000</v>
      </c>
    </row>
    <row r="222" spans="1:28">
      <c r="A222" s="46"/>
      <c r="B222" s="46"/>
      <c r="C222" s="46"/>
      <c r="D222" s="46"/>
      <c r="E222" s="46"/>
      <c r="F222" s="46"/>
      <c r="G222" s="47"/>
      <c r="H222" s="48"/>
      <c r="I222" s="49"/>
      <c r="J222" s="49"/>
      <c r="AA222">
        <f t="shared" si="3"/>
        <v>5</v>
      </c>
      <c r="AB222">
        <f>IF(AND(A222&lt;&gt;"",K222&lt;&gt;"非表示",IF(タスク一覧!$B$4="すべて",TRUE,B222=タスク一覧!$B$4),IF(タスク一覧!$E$4="すべて",TRUE,C222=タスク一覧!$E$4),IF(タスク一覧!$H$4="すべて",TRUE,IF(タスク一覧!$H$4="完了以外",F222&lt;&gt;"完了",F222=タスク一覧!$H$4))),AA222*1000000+COUNTIF($C$5:$C$300,"&lt;"&amp;C222)*1000+ROW(),1000000000000)</f>
        <v>1000000000000</v>
      </c>
    </row>
    <row r="223" spans="1:28">
      <c r="A223" s="46"/>
      <c r="B223" s="46"/>
      <c r="C223" s="46"/>
      <c r="D223" s="46"/>
      <c r="E223" s="46"/>
      <c r="F223" s="46"/>
      <c r="G223" s="47"/>
      <c r="H223" s="48"/>
      <c r="I223" s="49"/>
      <c r="J223" s="49"/>
      <c r="AA223">
        <f t="shared" si="3"/>
        <v>5</v>
      </c>
      <c r="AB223">
        <f>IF(AND(A223&lt;&gt;"",K223&lt;&gt;"非表示",IF(タスク一覧!$B$4="すべて",TRUE,B223=タスク一覧!$B$4),IF(タスク一覧!$E$4="すべて",TRUE,C223=タスク一覧!$E$4),IF(タスク一覧!$H$4="すべて",TRUE,IF(タスク一覧!$H$4="完了以外",F223&lt;&gt;"完了",F223=タスク一覧!$H$4))),AA223*1000000+COUNTIF($C$5:$C$300,"&lt;"&amp;C223)*1000+ROW(),1000000000000)</f>
        <v>1000000000000</v>
      </c>
    </row>
    <row r="224" spans="1:28">
      <c r="A224" s="46"/>
      <c r="B224" s="46"/>
      <c r="C224" s="46"/>
      <c r="D224" s="46"/>
      <c r="E224" s="46"/>
      <c r="F224" s="46"/>
      <c r="G224" s="47"/>
      <c r="H224" s="48"/>
      <c r="I224" s="49"/>
      <c r="J224" s="49"/>
      <c r="AA224">
        <f t="shared" si="3"/>
        <v>5</v>
      </c>
      <c r="AB224">
        <f>IF(AND(A224&lt;&gt;"",K224&lt;&gt;"非表示",IF(タスク一覧!$B$4="すべて",TRUE,B224=タスク一覧!$B$4),IF(タスク一覧!$E$4="すべて",TRUE,C224=タスク一覧!$E$4),IF(タスク一覧!$H$4="すべて",TRUE,IF(タスク一覧!$H$4="完了以外",F224&lt;&gt;"完了",F224=タスク一覧!$H$4))),AA224*1000000+COUNTIF($C$5:$C$300,"&lt;"&amp;C224)*1000+ROW(),1000000000000)</f>
        <v>1000000000000</v>
      </c>
    </row>
    <row r="225" spans="1:28">
      <c r="A225" s="46"/>
      <c r="B225" s="46"/>
      <c r="C225" s="46"/>
      <c r="D225" s="46"/>
      <c r="E225" s="46"/>
      <c r="F225" s="46"/>
      <c r="G225" s="47"/>
      <c r="H225" s="48"/>
      <c r="I225" s="49"/>
      <c r="J225" s="49"/>
      <c r="AA225">
        <f t="shared" si="3"/>
        <v>5</v>
      </c>
      <c r="AB225">
        <f>IF(AND(A225&lt;&gt;"",K225&lt;&gt;"非表示",IF(タスク一覧!$B$4="すべて",TRUE,B225=タスク一覧!$B$4),IF(タスク一覧!$E$4="すべて",TRUE,C225=タスク一覧!$E$4),IF(タスク一覧!$H$4="すべて",TRUE,IF(タスク一覧!$H$4="完了以外",F225&lt;&gt;"完了",F225=タスク一覧!$H$4))),AA225*1000000+COUNTIF($C$5:$C$300,"&lt;"&amp;C225)*1000+ROW(),1000000000000)</f>
        <v>1000000000000</v>
      </c>
    </row>
    <row r="226" spans="1:28">
      <c r="A226" s="46"/>
      <c r="B226" s="46"/>
      <c r="C226" s="46"/>
      <c r="D226" s="46"/>
      <c r="E226" s="46"/>
      <c r="F226" s="46"/>
      <c r="G226" s="47"/>
      <c r="H226" s="48"/>
      <c r="I226" s="49"/>
      <c r="J226" s="49"/>
      <c r="AA226">
        <f t="shared" si="3"/>
        <v>5</v>
      </c>
      <c r="AB226">
        <f>IF(AND(A226&lt;&gt;"",K226&lt;&gt;"非表示",IF(タスク一覧!$B$4="すべて",TRUE,B226=タスク一覧!$B$4),IF(タスク一覧!$E$4="すべて",TRUE,C226=タスク一覧!$E$4),IF(タスク一覧!$H$4="すべて",TRUE,IF(タスク一覧!$H$4="完了以外",F226&lt;&gt;"完了",F226=タスク一覧!$H$4))),AA226*1000000+COUNTIF($C$5:$C$300,"&lt;"&amp;C226)*1000+ROW(),1000000000000)</f>
        <v>1000000000000</v>
      </c>
    </row>
    <row r="227" spans="1:28">
      <c r="A227" s="46"/>
      <c r="B227" s="46"/>
      <c r="C227" s="46"/>
      <c r="D227" s="46"/>
      <c r="E227" s="46"/>
      <c r="F227" s="46"/>
      <c r="G227" s="47"/>
      <c r="H227" s="48"/>
      <c r="I227" s="49"/>
      <c r="J227" s="49"/>
      <c r="AA227">
        <f t="shared" si="3"/>
        <v>5</v>
      </c>
      <c r="AB227">
        <f>IF(AND(A227&lt;&gt;"",K227&lt;&gt;"非表示",IF(タスク一覧!$B$4="すべて",TRUE,B227=タスク一覧!$B$4),IF(タスク一覧!$E$4="すべて",TRUE,C227=タスク一覧!$E$4),IF(タスク一覧!$H$4="すべて",TRUE,IF(タスク一覧!$H$4="完了以外",F227&lt;&gt;"完了",F227=タスク一覧!$H$4))),AA227*1000000+COUNTIF($C$5:$C$300,"&lt;"&amp;C227)*1000+ROW(),1000000000000)</f>
        <v>1000000000000</v>
      </c>
    </row>
    <row r="228" spans="1:28">
      <c r="A228" s="46"/>
      <c r="B228" s="46"/>
      <c r="C228" s="46"/>
      <c r="D228" s="46"/>
      <c r="E228" s="46"/>
      <c r="F228" s="46"/>
      <c r="G228" s="47"/>
      <c r="H228" s="48"/>
      <c r="I228" s="49"/>
      <c r="J228" s="49"/>
      <c r="AA228">
        <f t="shared" si="3"/>
        <v>5</v>
      </c>
      <c r="AB228">
        <f>IF(AND(A228&lt;&gt;"",K228&lt;&gt;"非表示",IF(タスク一覧!$B$4="すべて",TRUE,B228=タスク一覧!$B$4),IF(タスク一覧!$E$4="すべて",TRUE,C228=タスク一覧!$E$4),IF(タスク一覧!$H$4="すべて",TRUE,IF(タスク一覧!$H$4="完了以外",F228&lt;&gt;"完了",F228=タスク一覧!$H$4))),AA228*1000000+COUNTIF($C$5:$C$300,"&lt;"&amp;C228)*1000+ROW(),1000000000000)</f>
        <v>1000000000000</v>
      </c>
    </row>
    <row r="229" spans="1:28">
      <c r="A229" s="46"/>
      <c r="B229" s="46"/>
      <c r="C229" s="46"/>
      <c r="D229" s="46"/>
      <c r="E229" s="46"/>
      <c r="F229" s="46"/>
      <c r="G229" s="47"/>
      <c r="H229" s="48"/>
      <c r="I229" s="49"/>
      <c r="J229" s="49"/>
      <c r="AA229">
        <f t="shared" si="3"/>
        <v>5</v>
      </c>
      <c r="AB229">
        <f>IF(AND(A229&lt;&gt;"",K229&lt;&gt;"非表示",IF(タスク一覧!$B$4="すべて",TRUE,B229=タスク一覧!$B$4),IF(タスク一覧!$E$4="すべて",TRUE,C229=タスク一覧!$E$4),IF(タスク一覧!$H$4="すべて",TRUE,IF(タスク一覧!$H$4="完了以外",F229&lt;&gt;"完了",F229=タスク一覧!$H$4))),AA229*1000000+COUNTIF($C$5:$C$300,"&lt;"&amp;C229)*1000+ROW(),1000000000000)</f>
        <v>1000000000000</v>
      </c>
    </row>
    <row r="230" spans="1:28">
      <c r="A230" s="46"/>
      <c r="B230" s="46"/>
      <c r="C230" s="46"/>
      <c r="D230" s="46"/>
      <c r="E230" s="46"/>
      <c r="F230" s="46"/>
      <c r="G230" s="47"/>
      <c r="H230" s="48"/>
      <c r="I230" s="49"/>
      <c r="J230" s="49"/>
      <c r="AA230">
        <f t="shared" si="3"/>
        <v>5</v>
      </c>
      <c r="AB230">
        <f>IF(AND(A230&lt;&gt;"",K230&lt;&gt;"非表示",IF(タスク一覧!$B$4="すべて",TRUE,B230=タスク一覧!$B$4),IF(タスク一覧!$E$4="すべて",TRUE,C230=タスク一覧!$E$4),IF(タスク一覧!$H$4="すべて",TRUE,IF(タスク一覧!$H$4="完了以外",F230&lt;&gt;"完了",F230=タスク一覧!$H$4))),AA230*1000000+COUNTIF($C$5:$C$300,"&lt;"&amp;C230)*1000+ROW(),1000000000000)</f>
        <v>1000000000000</v>
      </c>
    </row>
    <row r="231" spans="1:28">
      <c r="A231" s="46"/>
      <c r="B231" s="46"/>
      <c r="C231" s="46"/>
      <c r="D231" s="46"/>
      <c r="E231" s="46"/>
      <c r="F231" s="46"/>
      <c r="G231" s="47"/>
      <c r="H231" s="48"/>
      <c r="I231" s="49"/>
      <c r="J231" s="49"/>
      <c r="AA231">
        <f t="shared" si="3"/>
        <v>5</v>
      </c>
      <c r="AB231">
        <f>IF(AND(A231&lt;&gt;"",K231&lt;&gt;"非表示",IF(タスク一覧!$B$4="すべて",TRUE,B231=タスク一覧!$B$4),IF(タスク一覧!$E$4="すべて",TRUE,C231=タスク一覧!$E$4),IF(タスク一覧!$H$4="すべて",TRUE,IF(タスク一覧!$H$4="完了以外",F231&lt;&gt;"完了",F231=タスク一覧!$H$4))),AA231*1000000+COUNTIF($C$5:$C$300,"&lt;"&amp;C231)*1000+ROW(),1000000000000)</f>
        <v>1000000000000</v>
      </c>
    </row>
    <row r="232" spans="1:28">
      <c r="A232" s="46"/>
      <c r="B232" s="46"/>
      <c r="C232" s="46"/>
      <c r="D232" s="46"/>
      <c r="E232" s="46"/>
      <c r="F232" s="46"/>
      <c r="G232" s="47"/>
      <c r="H232" s="48"/>
      <c r="I232" s="49"/>
      <c r="J232" s="49"/>
      <c r="AA232">
        <f t="shared" si="3"/>
        <v>5</v>
      </c>
      <c r="AB232">
        <f>IF(AND(A232&lt;&gt;"",K232&lt;&gt;"非表示",IF(タスク一覧!$B$4="すべて",TRUE,B232=タスク一覧!$B$4),IF(タスク一覧!$E$4="すべて",TRUE,C232=タスク一覧!$E$4),IF(タスク一覧!$H$4="すべて",TRUE,IF(タスク一覧!$H$4="完了以外",F232&lt;&gt;"完了",F232=タスク一覧!$H$4))),AA232*1000000+COUNTIF($C$5:$C$300,"&lt;"&amp;C232)*1000+ROW(),1000000000000)</f>
        <v>1000000000000</v>
      </c>
    </row>
    <row r="233" spans="1:28">
      <c r="A233" s="46"/>
      <c r="B233" s="46"/>
      <c r="C233" s="46"/>
      <c r="D233" s="46"/>
      <c r="E233" s="46"/>
      <c r="F233" s="46"/>
      <c r="G233" s="47"/>
      <c r="H233" s="48"/>
      <c r="I233" s="49"/>
      <c r="J233" s="49"/>
      <c r="AA233">
        <f t="shared" si="3"/>
        <v>5</v>
      </c>
      <c r="AB233">
        <f>IF(AND(A233&lt;&gt;"",K233&lt;&gt;"非表示",IF(タスク一覧!$B$4="すべて",TRUE,B233=タスク一覧!$B$4),IF(タスク一覧!$E$4="すべて",TRUE,C233=タスク一覧!$E$4),IF(タスク一覧!$H$4="すべて",TRUE,IF(タスク一覧!$H$4="完了以外",F233&lt;&gt;"完了",F233=タスク一覧!$H$4))),AA233*1000000+COUNTIF($C$5:$C$300,"&lt;"&amp;C233)*1000+ROW(),1000000000000)</f>
        <v>1000000000000</v>
      </c>
    </row>
    <row r="234" spans="1:28">
      <c r="A234" s="46"/>
      <c r="B234" s="46"/>
      <c r="C234" s="46"/>
      <c r="D234" s="46"/>
      <c r="E234" s="46"/>
      <c r="F234" s="46"/>
      <c r="G234" s="47"/>
      <c r="H234" s="48"/>
      <c r="I234" s="49"/>
      <c r="J234" s="49"/>
      <c r="AA234">
        <f t="shared" si="3"/>
        <v>5</v>
      </c>
      <c r="AB234">
        <f>IF(AND(A234&lt;&gt;"",K234&lt;&gt;"非表示",IF(タスク一覧!$B$4="すべて",TRUE,B234=タスク一覧!$B$4),IF(タスク一覧!$E$4="すべて",TRUE,C234=タスク一覧!$E$4),IF(タスク一覧!$H$4="すべて",TRUE,IF(タスク一覧!$H$4="完了以外",F234&lt;&gt;"完了",F234=タスク一覧!$H$4))),AA234*1000000+COUNTIF($C$5:$C$300,"&lt;"&amp;C234)*1000+ROW(),1000000000000)</f>
        <v>1000000000000</v>
      </c>
    </row>
    <row r="235" spans="1:28">
      <c r="A235" s="46"/>
      <c r="B235" s="46"/>
      <c r="C235" s="46"/>
      <c r="D235" s="46"/>
      <c r="E235" s="46"/>
      <c r="F235" s="46"/>
      <c r="G235" s="47"/>
      <c r="H235" s="48"/>
      <c r="I235" s="49"/>
      <c r="J235" s="49"/>
      <c r="AA235">
        <f t="shared" si="3"/>
        <v>5</v>
      </c>
      <c r="AB235">
        <f>IF(AND(A235&lt;&gt;"",K235&lt;&gt;"非表示",IF(タスク一覧!$B$4="すべて",TRUE,B235=タスク一覧!$B$4),IF(タスク一覧!$E$4="すべて",TRUE,C235=タスク一覧!$E$4),IF(タスク一覧!$H$4="すべて",TRUE,IF(タスク一覧!$H$4="完了以外",F235&lt;&gt;"完了",F235=タスク一覧!$H$4))),AA235*1000000+COUNTIF($C$5:$C$300,"&lt;"&amp;C235)*1000+ROW(),1000000000000)</f>
        <v>1000000000000</v>
      </c>
    </row>
    <row r="236" spans="1:28">
      <c r="A236" s="46"/>
      <c r="B236" s="46"/>
      <c r="C236" s="46"/>
      <c r="D236" s="46"/>
      <c r="E236" s="46"/>
      <c r="F236" s="46"/>
      <c r="G236" s="47"/>
      <c r="H236" s="48"/>
      <c r="I236" s="49"/>
      <c r="J236" s="49"/>
      <c r="AA236">
        <f t="shared" si="3"/>
        <v>5</v>
      </c>
      <c r="AB236">
        <f>IF(AND(A236&lt;&gt;"",K236&lt;&gt;"非表示",IF(タスク一覧!$B$4="すべて",TRUE,B236=タスク一覧!$B$4),IF(タスク一覧!$E$4="すべて",TRUE,C236=タスク一覧!$E$4),IF(タスク一覧!$H$4="すべて",TRUE,IF(タスク一覧!$H$4="完了以外",F236&lt;&gt;"完了",F236=タスク一覧!$H$4))),AA236*1000000+COUNTIF($C$5:$C$300,"&lt;"&amp;C236)*1000+ROW(),1000000000000)</f>
        <v>1000000000000</v>
      </c>
    </row>
    <row r="237" spans="1:28">
      <c r="A237" s="46"/>
      <c r="B237" s="46"/>
      <c r="C237" s="46"/>
      <c r="D237" s="46"/>
      <c r="E237" s="46"/>
      <c r="F237" s="46"/>
      <c r="G237" s="47"/>
      <c r="H237" s="48"/>
      <c r="I237" s="49"/>
      <c r="J237" s="49"/>
      <c r="AA237">
        <f t="shared" si="3"/>
        <v>5</v>
      </c>
      <c r="AB237">
        <f>IF(AND(A237&lt;&gt;"",K237&lt;&gt;"非表示",IF(タスク一覧!$B$4="すべて",TRUE,B237=タスク一覧!$B$4),IF(タスク一覧!$E$4="すべて",TRUE,C237=タスク一覧!$E$4),IF(タスク一覧!$H$4="すべて",TRUE,IF(タスク一覧!$H$4="完了以外",F237&lt;&gt;"完了",F237=タスク一覧!$H$4))),AA237*1000000+COUNTIF($C$5:$C$300,"&lt;"&amp;C237)*1000+ROW(),1000000000000)</f>
        <v>1000000000000</v>
      </c>
    </row>
    <row r="238" spans="1:28">
      <c r="A238" s="46"/>
      <c r="B238" s="46"/>
      <c r="C238" s="46"/>
      <c r="D238" s="46"/>
      <c r="E238" s="46"/>
      <c r="F238" s="46"/>
      <c r="G238" s="47"/>
      <c r="H238" s="48"/>
      <c r="I238" s="49"/>
      <c r="J238" s="49"/>
      <c r="AA238">
        <f t="shared" si="3"/>
        <v>5</v>
      </c>
      <c r="AB238">
        <f>IF(AND(A238&lt;&gt;"",K238&lt;&gt;"非表示",IF(タスク一覧!$B$4="すべて",TRUE,B238=タスク一覧!$B$4),IF(タスク一覧!$E$4="すべて",TRUE,C238=タスク一覧!$E$4),IF(タスク一覧!$H$4="すべて",TRUE,IF(タスク一覧!$H$4="完了以外",F238&lt;&gt;"完了",F238=タスク一覧!$H$4))),AA238*1000000+COUNTIF($C$5:$C$300,"&lt;"&amp;C238)*1000+ROW(),1000000000000)</f>
        <v>1000000000000</v>
      </c>
    </row>
    <row r="239" spans="1:28">
      <c r="A239" s="46"/>
      <c r="B239" s="46"/>
      <c r="C239" s="46"/>
      <c r="D239" s="46"/>
      <c r="E239" s="46"/>
      <c r="F239" s="46"/>
      <c r="G239" s="47"/>
      <c r="H239" s="48"/>
      <c r="I239" s="49"/>
      <c r="J239" s="49"/>
      <c r="AA239">
        <f t="shared" si="3"/>
        <v>5</v>
      </c>
      <c r="AB239">
        <f>IF(AND(A239&lt;&gt;"",K239&lt;&gt;"非表示",IF(タスク一覧!$B$4="すべて",TRUE,B239=タスク一覧!$B$4),IF(タスク一覧!$E$4="すべて",TRUE,C239=タスク一覧!$E$4),IF(タスク一覧!$H$4="すべて",TRUE,IF(タスク一覧!$H$4="完了以外",F239&lt;&gt;"完了",F239=タスク一覧!$H$4))),AA239*1000000+COUNTIF($C$5:$C$300,"&lt;"&amp;C239)*1000+ROW(),1000000000000)</f>
        <v>1000000000000</v>
      </c>
    </row>
    <row r="240" spans="1:28">
      <c r="A240" s="46"/>
      <c r="B240" s="46"/>
      <c r="C240" s="46"/>
      <c r="D240" s="46"/>
      <c r="E240" s="46"/>
      <c r="F240" s="46"/>
      <c r="G240" s="47"/>
      <c r="H240" s="48"/>
      <c r="I240" s="49"/>
      <c r="J240" s="49"/>
      <c r="AA240">
        <f t="shared" si="3"/>
        <v>5</v>
      </c>
      <c r="AB240">
        <f>IF(AND(A240&lt;&gt;"",K240&lt;&gt;"非表示",IF(タスク一覧!$B$4="すべて",TRUE,B240=タスク一覧!$B$4),IF(タスク一覧!$E$4="すべて",TRUE,C240=タスク一覧!$E$4),IF(タスク一覧!$H$4="すべて",TRUE,IF(タスク一覧!$H$4="完了以外",F240&lt;&gt;"完了",F240=タスク一覧!$H$4))),AA240*1000000+COUNTIF($C$5:$C$300,"&lt;"&amp;C240)*1000+ROW(),1000000000000)</f>
        <v>1000000000000</v>
      </c>
    </row>
    <row r="241" spans="1:28">
      <c r="A241" s="46"/>
      <c r="B241" s="46"/>
      <c r="C241" s="46"/>
      <c r="D241" s="46"/>
      <c r="E241" s="46"/>
      <c r="F241" s="46"/>
      <c r="G241" s="47"/>
      <c r="H241" s="48"/>
      <c r="I241" s="49"/>
      <c r="J241" s="49"/>
      <c r="AA241">
        <f t="shared" si="3"/>
        <v>5</v>
      </c>
      <c r="AB241">
        <f>IF(AND(A241&lt;&gt;"",K241&lt;&gt;"非表示",IF(タスク一覧!$B$4="すべて",TRUE,B241=タスク一覧!$B$4),IF(タスク一覧!$E$4="すべて",TRUE,C241=タスク一覧!$E$4),IF(タスク一覧!$H$4="すべて",TRUE,IF(タスク一覧!$H$4="完了以外",F241&lt;&gt;"完了",F241=タスク一覧!$H$4))),AA241*1000000+COUNTIF($C$5:$C$300,"&lt;"&amp;C241)*1000+ROW(),1000000000000)</f>
        <v>1000000000000</v>
      </c>
    </row>
    <row r="242" spans="1:28">
      <c r="A242" s="46"/>
      <c r="B242" s="46"/>
      <c r="C242" s="46"/>
      <c r="D242" s="46"/>
      <c r="E242" s="46"/>
      <c r="F242" s="46"/>
      <c r="G242" s="47"/>
      <c r="H242" s="48"/>
      <c r="I242" s="49"/>
      <c r="J242" s="49"/>
      <c r="AA242">
        <f t="shared" si="3"/>
        <v>5</v>
      </c>
      <c r="AB242">
        <f>IF(AND(A242&lt;&gt;"",K242&lt;&gt;"非表示",IF(タスク一覧!$B$4="すべて",TRUE,B242=タスク一覧!$B$4),IF(タスク一覧!$E$4="すべて",TRUE,C242=タスク一覧!$E$4),IF(タスク一覧!$H$4="すべて",TRUE,IF(タスク一覧!$H$4="完了以外",F242&lt;&gt;"完了",F242=タスク一覧!$H$4))),AA242*1000000+COUNTIF($C$5:$C$300,"&lt;"&amp;C242)*1000+ROW(),1000000000000)</f>
        <v>1000000000000</v>
      </c>
    </row>
    <row r="243" spans="1:28">
      <c r="A243" s="46"/>
      <c r="B243" s="46"/>
      <c r="C243" s="46"/>
      <c r="D243" s="46"/>
      <c r="E243" s="46"/>
      <c r="F243" s="46"/>
      <c r="G243" s="47"/>
      <c r="H243" s="48"/>
      <c r="I243" s="49"/>
      <c r="J243" s="49"/>
      <c r="AA243">
        <f t="shared" si="3"/>
        <v>5</v>
      </c>
      <c r="AB243">
        <f>IF(AND(A243&lt;&gt;"",K243&lt;&gt;"非表示",IF(タスク一覧!$B$4="すべて",TRUE,B243=タスク一覧!$B$4),IF(タスク一覧!$E$4="すべて",TRUE,C243=タスク一覧!$E$4),IF(タスク一覧!$H$4="すべて",TRUE,IF(タスク一覧!$H$4="完了以外",F243&lt;&gt;"完了",F243=タスク一覧!$H$4))),AA243*1000000+COUNTIF($C$5:$C$300,"&lt;"&amp;C243)*1000+ROW(),1000000000000)</f>
        <v>1000000000000</v>
      </c>
    </row>
    <row r="244" spans="1:28">
      <c r="A244" s="46"/>
      <c r="B244" s="46"/>
      <c r="C244" s="46"/>
      <c r="D244" s="46"/>
      <c r="E244" s="46"/>
      <c r="F244" s="46"/>
      <c r="G244" s="47"/>
      <c r="H244" s="48"/>
      <c r="I244" s="49"/>
      <c r="J244" s="49"/>
      <c r="AA244">
        <f t="shared" si="3"/>
        <v>5</v>
      </c>
      <c r="AB244">
        <f>IF(AND(A244&lt;&gt;"",K244&lt;&gt;"非表示",IF(タスク一覧!$B$4="すべて",TRUE,B244=タスク一覧!$B$4),IF(タスク一覧!$E$4="すべて",TRUE,C244=タスク一覧!$E$4),IF(タスク一覧!$H$4="すべて",TRUE,IF(タスク一覧!$H$4="完了以外",F244&lt;&gt;"完了",F244=タスク一覧!$H$4))),AA244*1000000+COUNTIF($C$5:$C$300,"&lt;"&amp;C244)*1000+ROW(),1000000000000)</f>
        <v>1000000000000</v>
      </c>
    </row>
    <row r="245" spans="1:28">
      <c r="A245" s="46"/>
      <c r="B245" s="46"/>
      <c r="C245" s="46"/>
      <c r="D245" s="46"/>
      <c r="E245" s="46"/>
      <c r="F245" s="46"/>
      <c r="G245" s="47"/>
      <c r="H245" s="48"/>
      <c r="I245" s="49"/>
      <c r="J245" s="49"/>
      <c r="AA245">
        <f t="shared" si="3"/>
        <v>5</v>
      </c>
      <c r="AB245">
        <f>IF(AND(A245&lt;&gt;"",K245&lt;&gt;"非表示",IF(タスク一覧!$B$4="すべて",TRUE,B245=タスク一覧!$B$4),IF(タスク一覧!$E$4="すべて",TRUE,C245=タスク一覧!$E$4),IF(タスク一覧!$H$4="すべて",TRUE,IF(タスク一覧!$H$4="完了以外",F245&lt;&gt;"完了",F245=タスク一覧!$H$4))),AA245*1000000+COUNTIF($C$5:$C$300,"&lt;"&amp;C245)*1000+ROW(),1000000000000)</f>
        <v>1000000000000</v>
      </c>
    </row>
    <row r="246" spans="1:28">
      <c r="A246" s="46"/>
      <c r="B246" s="46"/>
      <c r="C246" s="46"/>
      <c r="D246" s="46"/>
      <c r="E246" s="46"/>
      <c r="F246" s="46"/>
      <c r="G246" s="47"/>
      <c r="H246" s="48"/>
      <c r="I246" s="49"/>
      <c r="J246" s="49"/>
      <c r="AA246">
        <f t="shared" si="3"/>
        <v>5</v>
      </c>
      <c r="AB246">
        <f>IF(AND(A246&lt;&gt;"",K246&lt;&gt;"非表示",IF(タスク一覧!$B$4="すべて",TRUE,B246=タスク一覧!$B$4),IF(タスク一覧!$E$4="すべて",TRUE,C246=タスク一覧!$E$4),IF(タスク一覧!$H$4="すべて",TRUE,IF(タスク一覧!$H$4="完了以外",F246&lt;&gt;"完了",F246=タスク一覧!$H$4))),AA246*1000000+COUNTIF($C$5:$C$300,"&lt;"&amp;C246)*1000+ROW(),1000000000000)</f>
        <v>1000000000000</v>
      </c>
    </row>
    <row r="247" spans="1:28">
      <c r="A247" s="46"/>
      <c r="B247" s="46"/>
      <c r="C247" s="46"/>
      <c r="D247" s="46"/>
      <c r="E247" s="46"/>
      <c r="F247" s="46"/>
      <c r="G247" s="47"/>
      <c r="H247" s="48"/>
      <c r="I247" s="49"/>
      <c r="J247" s="49"/>
      <c r="AA247">
        <f t="shared" si="3"/>
        <v>5</v>
      </c>
      <c r="AB247">
        <f>IF(AND(A247&lt;&gt;"",K247&lt;&gt;"非表示",IF(タスク一覧!$B$4="すべて",TRUE,B247=タスク一覧!$B$4),IF(タスク一覧!$E$4="すべて",TRUE,C247=タスク一覧!$E$4),IF(タスク一覧!$H$4="すべて",TRUE,IF(タスク一覧!$H$4="完了以外",F247&lt;&gt;"完了",F247=タスク一覧!$H$4))),AA247*1000000+COUNTIF($C$5:$C$300,"&lt;"&amp;C247)*1000+ROW(),1000000000000)</f>
        <v>1000000000000</v>
      </c>
    </row>
    <row r="248" spans="1:28">
      <c r="A248" s="46"/>
      <c r="B248" s="46"/>
      <c r="C248" s="46"/>
      <c r="D248" s="46"/>
      <c r="E248" s="46"/>
      <c r="F248" s="46"/>
      <c r="G248" s="47"/>
      <c r="H248" s="48"/>
      <c r="I248" s="49"/>
      <c r="J248" s="49"/>
      <c r="AA248">
        <f t="shared" si="3"/>
        <v>5</v>
      </c>
      <c r="AB248">
        <f>IF(AND(A248&lt;&gt;"",K248&lt;&gt;"非表示",IF(タスク一覧!$B$4="すべて",TRUE,B248=タスク一覧!$B$4),IF(タスク一覧!$E$4="すべて",TRUE,C248=タスク一覧!$E$4),IF(タスク一覧!$H$4="すべて",TRUE,IF(タスク一覧!$H$4="完了以外",F248&lt;&gt;"完了",F248=タスク一覧!$H$4))),AA248*1000000+COUNTIF($C$5:$C$300,"&lt;"&amp;C248)*1000+ROW(),1000000000000)</f>
        <v>1000000000000</v>
      </c>
    </row>
    <row r="249" spans="1:28">
      <c r="A249" s="46"/>
      <c r="B249" s="46"/>
      <c r="C249" s="46"/>
      <c r="D249" s="46"/>
      <c r="E249" s="46"/>
      <c r="F249" s="46"/>
      <c r="G249" s="47"/>
      <c r="H249" s="48"/>
      <c r="I249" s="49"/>
      <c r="J249" s="49"/>
      <c r="AA249">
        <f t="shared" si="3"/>
        <v>5</v>
      </c>
      <c r="AB249">
        <f>IF(AND(A249&lt;&gt;"",K249&lt;&gt;"非表示",IF(タスク一覧!$B$4="すべて",TRUE,B249=タスク一覧!$B$4),IF(タスク一覧!$E$4="すべて",TRUE,C249=タスク一覧!$E$4),IF(タスク一覧!$H$4="すべて",TRUE,IF(タスク一覧!$H$4="完了以外",F249&lt;&gt;"完了",F249=タスク一覧!$H$4))),AA249*1000000+COUNTIF($C$5:$C$300,"&lt;"&amp;C249)*1000+ROW(),1000000000000)</f>
        <v>1000000000000</v>
      </c>
    </row>
    <row r="250" spans="1:28">
      <c r="A250" s="46"/>
      <c r="B250" s="46"/>
      <c r="C250" s="46"/>
      <c r="D250" s="46"/>
      <c r="E250" s="46"/>
      <c r="F250" s="46"/>
      <c r="G250" s="47"/>
      <c r="H250" s="48"/>
      <c r="I250" s="49"/>
      <c r="J250" s="49"/>
      <c r="AA250">
        <f t="shared" si="3"/>
        <v>5</v>
      </c>
      <c r="AB250">
        <f>IF(AND(A250&lt;&gt;"",K250&lt;&gt;"非表示",IF(タスク一覧!$B$4="すべて",TRUE,B250=タスク一覧!$B$4),IF(タスク一覧!$E$4="すべて",TRUE,C250=タスク一覧!$E$4),IF(タスク一覧!$H$4="すべて",TRUE,IF(タスク一覧!$H$4="完了以外",F250&lt;&gt;"完了",F250=タスク一覧!$H$4))),AA250*1000000+COUNTIF($C$5:$C$300,"&lt;"&amp;C250)*1000+ROW(),1000000000000)</f>
        <v>1000000000000</v>
      </c>
    </row>
    <row r="251" spans="1:28">
      <c r="A251" s="46"/>
      <c r="B251" s="46"/>
      <c r="C251" s="46"/>
      <c r="D251" s="46"/>
      <c r="E251" s="46"/>
      <c r="F251" s="46"/>
      <c r="G251" s="47"/>
      <c r="H251" s="48"/>
      <c r="I251" s="49"/>
      <c r="J251" s="49"/>
      <c r="AA251">
        <f t="shared" si="3"/>
        <v>5</v>
      </c>
      <c r="AB251">
        <f>IF(AND(A251&lt;&gt;"",K251&lt;&gt;"非表示",IF(タスク一覧!$B$4="すべて",TRUE,B251=タスク一覧!$B$4),IF(タスク一覧!$E$4="すべて",TRUE,C251=タスク一覧!$E$4),IF(タスク一覧!$H$4="すべて",TRUE,IF(タスク一覧!$H$4="完了以外",F251&lt;&gt;"完了",F251=タスク一覧!$H$4))),AA251*1000000+COUNTIF($C$5:$C$300,"&lt;"&amp;C251)*1000+ROW(),1000000000000)</f>
        <v>1000000000000</v>
      </c>
    </row>
    <row r="252" spans="1:28">
      <c r="A252" s="46"/>
      <c r="B252" s="46"/>
      <c r="C252" s="46"/>
      <c r="D252" s="46"/>
      <c r="E252" s="46"/>
      <c r="F252" s="46"/>
      <c r="G252" s="47"/>
      <c r="H252" s="48"/>
      <c r="I252" s="49"/>
      <c r="J252" s="49"/>
      <c r="AA252">
        <f t="shared" si="3"/>
        <v>5</v>
      </c>
      <c r="AB252">
        <f>IF(AND(A252&lt;&gt;"",K252&lt;&gt;"非表示",IF(タスク一覧!$B$4="すべて",TRUE,B252=タスク一覧!$B$4),IF(タスク一覧!$E$4="すべて",TRUE,C252=タスク一覧!$E$4),IF(タスク一覧!$H$4="すべて",TRUE,IF(タスク一覧!$H$4="完了以外",F252&lt;&gt;"完了",F252=タスク一覧!$H$4))),AA252*1000000+COUNTIF($C$5:$C$300,"&lt;"&amp;C252)*1000+ROW(),1000000000000)</f>
        <v>1000000000000</v>
      </c>
    </row>
    <row r="253" spans="1:28">
      <c r="A253" s="46"/>
      <c r="B253" s="46"/>
      <c r="C253" s="46"/>
      <c r="D253" s="46"/>
      <c r="E253" s="46"/>
      <c r="F253" s="46"/>
      <c r="G253" s="47"/>
      <c r="H253" s="48"/>
      <c r="I253" s="49"/>
      <c r="J253" s="49"/>
      <c r="AA253">
        <f t="shared" si="3"/>
        <v>5</v>
      </c>
      <c r="AB253">
        <f>IF(AND(A253&lt;&gt;"",K253&lt;&gt;"非表示",IF(タスク一覧!$B$4="すべて",TRUE,B253=タスク一覧!$B$4),IF(タスク一覧!$E$4="すべて",TRUE,C253=タスク一覧!$E$4),IF(タスク一覧!$H$4="すべて",TRUE,IF(タスク一覧!$H$4="完了以外",F253&lt;&gt;"完了",F253=タスク一覧!$H$4))),AA253*1000000+COUNTIF($C$5:$C$300,"&lt;"&amp;C253)*1000+ROW(),1000000000000)</f>
        <v>1000000000000</v>
      </c>
    </row>
    <row r="254" spans="1:28">
      <c r="A254" s="46"/>
      <c r="B254" s="46"/>
      <c r="C254" s="46"/>
      <c r="D254" s="46"/>
      <c r="E254" s="46"/>
      <c r="F254" s="46"/>
      <c r="G254" s="47"/>
      <c r="H254" s="48"/>
      <c r="I254" s="49"/>
      <c r="J254" s="49"/>
      <c r="AA254">
        <f t="shared" si="3"/>
        <v>5</v>
      </c>
      <c r="AB254">
        <f>IF(AND(A254&lt;&gt;"",K254&lt;&gt;"非表示",IF(タスク一覧!$B$4="すべて",TRUE,B254=タスク一覧!$B$4),IF(タスク一覧!$E$4="すべて",TRUE,C254=タスク一覧!$E$4),IF(タスク一覧!$H$4="すべて",TRUE,IF(タスク一覧!$H$4="完了以外",F254&lt;&gt;"完了",F254=タスク一覧!$H$4))),AA254*1000000+COUNTIF($C$5:$C$300,"&lt;"&amp;C254)*1000+ROW(),1000000000000)</f>
        <v>1000000000000</v>
      </c>
    </row>
    <row r="255" spans="1:28">
      <c r="A255" s="46"/>
      <c r="B255" s="46"/>
      <c r="C255" s="46"/>
      <c r="D255" s="46"/>
      <c r="E255" s="46"/>
      <c r="F255" s="46"/>
      <c r="G255" s="47"/>
      <c r="H255" s="48"/>
      <c r="I255" s="49"/>
      <c r="J255" s="49"/>
      <c r="AA255">
        <f t="shared" si="3"/>
        <v>5</v>
      </c>
      <c r="AB255">
        <f>IF(AND(A255&lt;&gt;"",K255&lt;&gt;"非表示",IF(タスク一覧!$B$4="すべて",TRUE,B255=タスク一覧!$B$4),IF(タスク一覧!$E$4="すべて",TRUE,C255=タスク一覧!$E$4),IF(タスク一覧!$H$4="すべて",TRUE,IF(タスク一覧!$H$4="完了以外",F255&lt;&gt;"完了",F255=タスク一覧!$H$4))),AA255*1000000+COUNTIF($C$5:$C$300,"&lt;"&amp;C255)*1000+ROW(),1000000000000)</f>
        <v>1000000000000</v>
      </c>
    </row>
    <row r="256" spans="1:28">
      <c r="A256" s="46"/>
      <c r="B256" s="46"/>
      <c r="C256" s="46"/>
      <c r="D256" s="46"/>
      <c r="E256" s="46"/>
      <c r="F256" s="46"/>
      <c r="G256" s="47"/>
      <c r="H256" s="48"/>
      <c r="I256" s="49"/>
      <c r="J256" s="49"/>
      <c r="AA256">
        <f t="shared" si="3"/>
        <v>5</v>
      </c>
      <c r="AB256">
        <f>IF(AND(A256&lt;&gt;"",K256&lt;&gt;"非表示",IF(タスク一覧!$B$4="すべて",TRUE,B256=タスク一覧!$B$4),IF(タスク一覧!$E$4="すべて",TRUE,C256=タスク一覧!$E$4),IF(タスク一覧!$H$4="すべて",TRUE,IF(タスク一覧!$H$4="完了以外",F256&lt;&gt;"完了",F256=タスク一覧!$H$4))),AA256*1000000+COUNTIF($C$5:$C$300,"&lt;"&amp;C256)*1000+ROW(),1000000000000)</f>
        <v>1000000000000</v>
      </c>
    </row>
    <row r="257" spans="1:28">
      <c r="A257" s="46"/>
      <c r="B257" s="46"/>
      <c r="C257" s="46"/>
      <c r="D257" s="46"/>
      <c r="E257" s="46"/>
      <c r="F257" s="46"/>
      <c r="G257" s="47"/>
      <c r="H257" s="48"/>
      <c r="I257" s="49"/>
      <c r="J257" s="49"/>
      <c r="AA257">
        <f t="shared" si="3"/>
        <v>5</v>
      </c>
      <c r="AB257">
        <f>IF(AND(A257&lt;&gt;"",K257&lt;&gt;"非表示",IF(タスク一覧!$B$4="すべて",TRUE,B257=タスク一覧!$B$4),IF(タスク一覧!$E$4="すべて",TRUE,C257=タスク一覧!$E$4),IF(タスク一覧!$H$4="すべて",TRUE,IF(タスク一覧!$H$4="完了以外",F257&lt;&gt;"完了",F257=タスク一覧!$H$4))),AA257*1000000+COUNTIF($C$5:$C$300,"&lt;"&amp;C257)*1000+ROW(),1000000000000)</f>
        <v>1000000000000</v>
      </c>
    </row>
    <row r="258" spans="1:28">
      <c r="A258" s="46"/>
      <c r="B258" s="46"/>
      <c r="C258" s="46"/>
      <c r="D258" s="46"/>
      <c r="E258" s="46"/>
      <c r="F258" s="46"/>
      <c r="G258" s="47"/>
      <c r="H258" s="48"/>
      <c r="I258" s="49"/>
      <c r="J258" s="49"/>
      <c r="AA258">
        <f t="shared" si="3"/>
        <v>5</v>
      </c>
      <c r="AB258">
        <f>IF(AND(A258&lt;&gt;"",K258&lt;&gt;"非表示",IF(タスク一覧!$B$4="すべて",TRUE,B258=タスク一覧!$B$4),IF(タスク一覧!$E$4="すべて",TRUE,C258=タスク一覧!$E$4),IF(タスク一覧!$H$4="すべて",TRUE,IF(タスク一覧!$H$4="完了以外",F258&lt;&gt;"完了",F258=タスク一覧!$H$4))),AA258*1000000+COUNTIF($C$5:$C$300,"&lt;"&amp;C258)*1000+ROW(),1000000000000)</f>
        <v>1000000000000</v>
      </c>
    </row>
    <row r="259" spans="1:28">
      <c r="A259" s="46"/>
      <c r="B259" s="46"/>
      <c r="C259" s="46"/>
      <c r="D259" s="46"/>
      <c r="E259" s="46"/>
      <c r="F259" s="46"/>
      <c r="G259" s="47"/>
      <c r="H259" s="48"/>
      <c r="I259" s="49"/>
      <c r="J259" s="49"/>
      <c r="AA259">
        <f t="shared" si="3"/>
        <v>5</v>
      </c>
      <c r="AB259">
        <f>IF(AND(A259&lt;&gt;"",K259&lt;&gt;"非表示",IF(タスク一覧!$B$4="すべて",TRUE,B259=タスク一覧!$B$4),IF(タスク一覧!$E$4="すべて",TRUE,C259=タスク一覧!$E$4),IF(タスク一覧!$H$4="すべて",TRUE,IF(タスク一覧!$H$4="完了以外",F259&lt;&gt;"完了",F259=タスク一覧!$H$4))),AA259*1000000+COUNTIF($C$5:$C$300,"&lt;"&amp;C259)*1000+ROW(),1000000000000)</f>
        <v>1000000000000</v>
      </c>
    </row>
    <row r="260" spans="1:28">
      <c r="A260" s="46"/>
      <c r="B260" s="46"/>
      <c r="C260" s="46"/>
      <c r="D260" s="46"/>
      <c r="E260" s="46"/>
      <c r="F260" s="46"/>
      <c r="G260" s="47"/>
      <c r="H260" s="48"/>
      <c r="I260" s="49"/>
      <c r="J260" s="49"/>
      <c r="AA260">
        <f t="shared" si="3"/>
        <v>5</v>
      </c>
      <c r="AB260">
        <f>IF(AND(A260&lt;&gt;"",K260&lt;&gt;"非表示",IF(タスク一覧!$B$4="すべて",TRUE,B260=タスク一覧!$B$4),IF(タスク一覧!$E$4="すべて",TRUE,C260=タスク一覧!$E$4),IF(タスク一覧!$H$4="すべて",TRUE,IF(タスク一覧!$H$4="完了以外",F260&lt;&gt;"完了",F260=タスク一覧!$H$4))),AA260*1000000+COUNTIF($C$5:$C$300,"&lt;"&amp;C260)*1000+ROW(),1000000000000)</f>
        <v>1000000000000</v>
      </c>
    </row>
    <row r="261" spans="1:28">
      <c r="A261" s="46"/>
      <c r="B261" s="46"/>
      <c r="C261" s="46"/>
      <c r="D261" s="46"/>
      <c r="E261" s="46"/>
      <c r="F261" s="46"/>
      <c r="G261" s="47"/>
      <c r="H261" s="48"/>
      <c r="I261" s="49"/>
      <c r="J261" s="49"/>
      <c r="AA261">
        <f t="shared" ref="AA261:AA300" si="4">IF(B261="プロト",1,IF(B261="アルファ",2,IF(B261="ベータ",3,IF(B261="マスター",4,5))))</f>
        <v>5</v>
      </c>
      <c r="AB261">
        <f>IF(AND(A261&lt;&gt;"",K261&lt;&gt;"非表示",IF(タスク一覧!$B$4="すべて",TRUE,B261=タスク一覧!$B$4),IF(タスク一覧!$E$4="すべて",TRUE,C261=タスク一覧!$E$4),IF(タスク一覧!$H$4="すべて",TRUE,IF(タスク一覧!$H$4="完了以外",F261&lt;&gt;"完了",F261=タスク一覧!$H$4))),AA261*1000000+COUNTIF($C$5:$C$300,"&lt;"&amp;C261)*1000+ROW(),1000000000000)</f>
        <v>1000000000000</v>
      </c>
    </row>
    <row r="262" spans="1:28">
      <c r="A262" s="46"/>
      <c r="B262" s="46"/>
      <c r="C262" s="46"/>
      <c r="D262" s="46"/>
      <c r="E262" s="46"/>
      <c r="F262" s="46"/>
      <c r="G262" s="47"/>
      <c r="H262" s="48"/>
      <c r="I262" s="49"/>
      <c r="J262" s="49"/>
      <c r="AA262">
        <f t="shared" si="4"/>
        <v>5</v>
      </c>
      <c r="AB262">
        <f>IF(AND(A262&lt;&gt;"",K262&lt;&gt;"非表示",IF(タスク一覧!$B$4="すべて",TRUE,B262=タスク一覧!$B$4),IF(タスク一覧!$E$4="すべて",TRUE,C262=タスク一覧!$E$4),IF(タスク一覧!$H$4="すべて",TRUE,IF(タスク一覧!$H$4="完了以外",F262&lt;&gt;"完了",F262=タスク一覧!$H$4))),AA262*1000000+COUNTIF($C$5:$C$300,"&lt;"&amp;C262)*1000+ROW(),1000000000000)</f>
        <v>1000000000000</v>
      </c>
    </row>
    <row r="263" spans="1:28">
      <c r="A263" s="46"/>
      <c r="B263" s="46"/>
      <c r="C263" s="46"/>
      <c r="D263" s="46"/>
      <c r="E263" s="46"/>
      <c r="F263" s="46"/>
      <c r="G263" s="47"/>
      <c r="H263" s="48"/>
      <c r="I263" s="49"/>
      <c r="J263" s="49"/>
      <c r="AA263">
        <f t="shared" si="4"/>
        <v>5</v>
      </c>
      <c r="AB263">
        <f>IF(AND(A263&lt;&gt;"",K263&lt;&gt;"非表示",IF(タスク一覧!$B$4="すべて",TRUE,B263=タスク一覧!$B$4),IF(タスク一覧!$E$4="すべて",TRUE,C263=タスク一覧!$E$4),IF(タスク一覧!$H$4="すべて",TRUE,IF(タスク一覧!$H$4="完了以外",F263&lt;&gt;"完了",F263=タスク一覧!$H$4))),AA263*1000000+COUNTIF($C$5:$C$300,"&lt;"&amp;C263)*1000+ROW(),1000000000000)</f>
        <v>1000000000000</v>
      </c>
    </row>
    <row r="264" spans="1:28">
      <c r="A264" s="46"/>
      <c r="B264" s="46"/>
      <c r="C264" s="46"/>
      <c r="D264" s="46"/>
      <c r="E264" s="46"/>
      <c r="F264" s="46"/>
      <c r="G264" s="47"/>
      <c r="H264" s="48"/>
      <c r="I264" s="49"/>
      <c r="J264" s="49"/>
      <c r="AA264">
        <f t="shared" si="4"/>
        <v>5</v>
      </c>
      <c r="AB264">
        <f>IF(AND(A264&lt;&gt;"",K264&lt;&gt;"非表示",IF(タスク一覧!$B$4="すべて",TRUE,B264=タスク一覧!$B$4),IF(タスク一覧!$E$4="すべて",TRUE,C264=タスク一覧!$E$4),IF(タスク一覧!$H$4="すべて",TRUE,IF(タスク一覧!$H$4="完了以外",F264&lt;&gt;"完了",F264=タスク一覧!$H$4))),AA264*1000000+COUNTIF($C$5:$C$300,"&lt;"&amp;C264)*1000+ROW(),1000000000000)</f>
        <v>1000000000000</v>
      </c>
    </row>
    <row r="265" spans="1:28">
      <c r="A265" s="46"/>
      <c r="B265" s="46"/>
      <c r="C265" s="46"/>
      <c r="D265" s="46"/>
      <c r="E265" s="46"/>
      <c r="F265" s="46"/>
      <c r="G265" s="47"/>
      <c r="H265" s="48"/>
      <c r="I265" s="49"/>
      <c r="J265" s="49"/>
      <c r="AA265">
        <f t="shared" si="4"/>
        <v>5</v>
      </c>
      <c r="AB265">
        <f>IF(AND(A265&lt;&gt;"",K265&lt;&gt;"非表示",IF(タスク一覧!$B$4="すべて",TRUE,B265=タスク一覧!$B$4),IF(タスク一覧!$E$4="すべて",TRUE,C265=タスク一覧!$E$4),IF(タスク一覧!$H$4="すべて",TRUE,IF(タスク一覧!$H$4="完了以外",F265&lt;&gt;"完了",F265=タスク一覧!$H$4))),AA265*1000000+COUNTIF($C$5:$C$300,"&lt;"&amp;C265)*1000+ROW(),1000000000000)</f>
        <v>1000000000000</v>
      </c>
    </row>
    <row r="266" spans="1:28">
      <c r="A266" s="46"/>
      <c r="B266" s="46"/>
      <c r="C266" s="46"/>
      <c r="D266" s="46"/>
      <c r="E266" s="46"/>
      <c r="F266" s="46"/>
      <c r="G266" s="47"/>
      <c r="H266" s="48"/>
      <c r="I266" s="49"/>
      <c r="J266" s="49"/>
      <c r="AA266">
        <f t="shared" si="4"/>
        <v>5</v>
      </c>
      <c r="AB266">
        <f>IF(AND(A266&lt;&gt;"",K266&lt;&gt;"非表示",IF(タスク一覧!$B$4="すべて",TRUE,B266=タスク一覧!$B$4),IF(タスク一覧!$E$4="すべて",TRUE,C266=タスク一覧!$E$4),IF(タスク一覧!$H$4="すべて",TRUE,IF(タスク一覧!$H$4="完了以外",F266&lt;&gt;"完了",F266=タスク一覧!$H$4))),AA266*1000000+COUNTIF($C$5:$C$300,"&lt;"&amp;C266)*1000+ROW(),1000000000000)</f>
        <v>1000000000000</v>
      </c>
    </row>
    <row r="267" spans="1:28">
      <c r="A267" s="46"/>
      <c r="B267" s="46"/>
      <c r="C267" s="46"/>
      <c r="D267" s="46"/>
      <c r="E267" s="46"/>
      <c r="F267" s="46"/>
      <c r="G267" s="47"/>
      <c r="H267" s="48"/>
      <c r="I267" s="49"/>
      <c r="J267" s="49"/>
      <c r="AA267">
        <f t="shared" si="4"/>
        <v>5</v>
      </c>
      <c r="AB267">
        <f>IF(AND(A267&lt;&gt;"",K267&lt;&gt;"非表示",IF(タスク一覧!$B$4="すべて",TRUE,B267=タスク一覧!$B$4),IF(タスク一覧!$E$4="すべて",TRUE,C267=タスク一覧!$E$4),IF(タスク一覧!$H$4="すべて",TRUE,IF(タスク一覧!$H$4="完了以外",F267&lt;&gt;"完了",F267=タスク一覧!$H$4))),AA267*1000000+COUNTIF($C$5:$C$300,"&lt;"&amp;C267)*1000+ROW(),1000000000000)</f>
        <v>1000000000000</v>
      </c>
    </row>
    <row r="268" spans="1:28">
      <c r="A268" s="46"/>
      <c r="B268" s="46"/>
      <c r="C268" s="46"/>
      <c r="D268" s="46"/>
      <c r="E268" s="46"/>
      <c r="F268" s="46"/>
      <c r="G268" s="47"/>
      <c r="H268" s="48"/>
      <c r="I268" s="49"/>
      <c r="J268" s="49"/>
      <c r="AA268">
        <f t="shared" si="4"/>
        <v>5</v>
      </c>
      <c r="AB268">
        <f>IF(AND(A268&lt;&gt;"",K268&lt;&gt;"非表示",IF(タスク一覧!$B$4="すべて",TRUE,B268=タスク一覧!$B$4),IF(タスク一覧!$E$4="すべて",TRUE,C268=タスク一覧!$E$4),IF(タスク一覧!$H$4="すべて",TRUE,IF(タスク一覧!$H$4="完了以外",F268&lt;&gt;"完了",F268=タスク一覧!$H$4))),AA268*1000000+COUNTIF($C$5:$C$300,"&lt;"&amp;C268)*1000+ROW(),1000000000000)</f>
        <v>1000000000000</v>
      </c>
    </row>
    <row r="269" spans="1:28">
      <c r="A269" s="46"/>
      <c r="B269" s="46"/>
      <c r="C269" s="46"/>
      <c r="D269" s="46"/>
      <c r="E269" s="46"/>
      <c r="F269" s="46"/>
      <c r="G269" s="47"/>
      <c r="H269" s="48"/>
      <c r="I269" s="49"/>
      <c r="J269" s="49"/>
      <c r="AA269">
        <f t="shared" si="4"/>
        <v>5</v>
      </c>
      <c r="AB269">
        <f>IF(AND(A269&lt;&gt;"",K269&lt;&gt;"非表示",IF(タスク一覧!$B$4="すべて",TRUE,B269=タスク一覧!$B$4),IF(タスク一覧!$E$4="すべて",TRUE,C269=タスク一覧!$E$4),IF(タスク一覧!$H$4="すべて",TRUE,IF(タスク一覧!$H$4="完了以外",F269&lt;&gt;"完了",F269=タスク一覧!$H$4))),AA269*1000000+COUNTIF($C$5:$C$300,"&lt;"&amp;C269)*1000+ROW(),1000000000000)</f>
        <v>1000000000000</v>
      </c>
    </row>
    <row r="270" spans="1:28">
      <c r="A270" s="46"/>
      <c r="B270" s="46"/>
      <c r="C270" s="46"/>
      <c r="D270" s="46"/>
      <c r="E270" s="46"/>
      <c r="F270" s="46"/>
      <c r="G270" s="47"/>
      <c r="H270" s="48"/>
      <c r="I270" s="49"/>
      <c r="J270" s="49"/>
      <c r="AA270">
        <f t="shared" si="4"/>
        <v>5</v>
      </c>
      <c r="AB270">
        <f>IF(AND(A270&lt;&gt;"",K270&lt;&gt;"非表示",IF(タスク一覧!$B$4="すべて",TRUE,B270=タスク一覧!$B$4),IF(タスク一覧!$E$4="すべて",TRUE,C270=タスク一覧!$E$4),IF(タスク一覧!$H$4="すべて",TRUE,IF(タスク一覧!$H$4="完了以外",F270&lt;&gt;"完了",F270=タスク一覧!$H$4))),AA270*1000000+COUNTIF($C$5:$C$300,"&lt;"&amp;C270)*1000+ROW(),1000000000000)</f>
        <v>1000000000000</v>
      </c>
    </row>
    <row r="271" spans="1:28">
      <c r="A271" s="46"/>
      <c r="B271" s="46"/>
      <c r="C271" s="46"/>
      <c r="D271" s="46"/>
      <c r="E271" s="46"/>
      <c r="F271" s="46"/>
      <c r="G271" s="47"/>
      <c r="H271" s="48"/>
      <c r="I271" s="49"/>
      <c r="J271" s="49"/>
      <c r="AA271">
        <f t="shared" si="4"/>
        <v>5</v>
      </c>
      <c r="AB271">
        <f>IF(AND(A271&lt;&gt;"",K271&lt;&gt;"非表示",IF(タスク一覧!$B$4="すべて",TRUE,B271=タスク一覧!$B$4),IF(タスク一覧!$E$4="すべて",TRUE,C271=タスク一覧!$E$4),IF(タスク一覧!$H$4="すべて",TRUE,IF(タスク一覧!$H$4="完了以外",F271&lt;&gt;"完了",F271=タスク一覧!$H$4))),AA271*1000000+COUNTIF($C$5:$C$300,"&lt;"&amp;C271)*1000+ROW(),1000000000000)</f>
        <v>1000000000000</v>
      </c>
    </row>
    <row r="272" spans="1:28">
      <c r="A272" s="46"/>
      <c r="B272" s="46"/>
      <c r="C272" s="46"/>
      <c r="D272" s="46"/>
      <c r="E272" s="46"/>
      <c r="F272" s="46"/>
      <c r="G272" s="47"/>
      <c r="H272" s="48"/>
      <c r="I272" s="49"/>
      <c r="J272" s="49"/>
      <c r="AA272">
        <f t="shared" si="4"/>
        <v>5</v>
      </c>
      <c r="AB272">
        <f>IF(AND(A272&lt;&gt;"",K272&lt;&gt;"非表示",IF(タスク一覧!$B$4="すべて",TRUE,B272=タスク一覧!$B$4),IF(タスク一覧!$E$4="すべて",TRUE,C272=タスク一覧!$E$4),IF(タスク一覧!$H$4="すべて",TRUE,IF(タスク一覧!$H$4="完了以外",F272&lt;&gt;"完了",F272=タスク一覧!$H$4))),AA272*1000000+COUNTIF($C$5:$C$300,"&lt;"&amp;C272)*1000+ROW(),1000000000000)</f>
        <v>1000000000000</v>
      </c>
    </row>
    <row r="273" spans="1:28">
      <c r="A273" s="46"/>
      <c r="B273" s="46"/>
      <c r="C273" s="46"/>
      <c r="D273" s="46"/>
      <c r="E273" s="46"/>
      <c r="F273" s="46"/>
      <c r="G273" s="47"/>
      <c r="H273" s="48"/>
      <c r="I273" s="49"/>
      <c r="J273" s="49"/>
      <c r="AA273">
        <f t="shared" si="4"/>
        <v>5</v>
      </c>
      <c r="AB273">
        <f>IF(AND(A273&lt;&gt;"",K273&lt;&gt;"非表示",IF(タスク一覧!$B$4="すべて",TRUE,B273=タスク一覧!$B$4),IF(タスク一覧!$E$4="すべて",TRUE,C273=タスク一覧!$E$4),IF(タスク一覧!$H$4="すべて",TRUE,IF(タスク一覧!$H$4="完了以外",F273&lt;&gt;"完了",F273=タスク一覧!$H$4))),AA273*1000000+COUNTIF($C$5:$C$300,"&lt;"&amp;C273)*1000+ROW(),1000000000000)</f>
        <v>1000000000000</v>
      </c>
    </row>
    <row r="274" spans="1:28">
      <c r="A274" s="46"/>
      <c r="B274" s="46"/>
      <c r="C274" s="46"/>
      <c r="D274" s="46"/>
      <c r="E274" s="46"/>
      <c r="F274" s="46"/>
      <c r="G274" s="47"/>
      <c r="H274" s="48"/>
      <c r="I274" s="49"/>
      <c r="J274" s="49"/>
      <c r="AA274">
        <f t="shared" si="4"/>
        <v>5</v>
      </c>
      <c r="AB274">
        <f>IF(AND(A274&lt;&gt;"",K274&lt;&gt;"非表示",IF(タスク一覧!$B$4="すべて",TRUE,B274=タスク一覧!$B$4),IF(タスク一覧!$E$4="すべて",TRUE,C274=タスク一覧!$E$4),IF(タスク一覧!$H$4="すべて",TRUE,IF(タスク一覧!$H$4="完了以外",F274&lt;&gt;"完了",F274=タスク一覧!$H$4))),AA274*1000000+COUNTIF($C$5:$C$300,"&lt;"&amp;C274)*1000+ROW(),1000000000000)</f>
        <v>1000000000000</v>
      </c>
    </row>
    <row r="275" spans="1:28">
      <c r="A275" s="46"/>
      <c r="B275" s="46"/>
      <c r="C275" s="46"/>
      <c r="D275" s="46"/>
      <c r="E275" s="46"/>
      <c r="F275" s="46"/>
      <c r="G275" s="47"/>
      <c r="H275" s="48"/>
      <c r="I275" s="49"/>
      <c r="J275" s="49"/>
      <c r="AA275">
        <f t="shared" si="4"/>
        <v>5</v>
      </c>
      <c r="AB275">
        <f>IF(AND(A275&lt;&gt;"",K275&lt;&gt;"非表示",IF(タスク一覧!$B$4="すべて",TRUE,B275=タスク一覧!$B$4),IF(タスク一覧!$E$4="すべて",TRUE,C275=タスク一覧!$E$4),IF(タスク一覧!$H$4="すべて",TRUE,IF(タスク一覧!$H$4="完了以外",F275&lt;&gt;"完了",F275=タスク一覧!$H$4))),AA275*1000000+COUNTIF($C$5:$C$300,"&lt;"&amp;C275)*1000+ROW(),1000000000000)</f>
        <v>1000000000000</v>
      </c>
    </row>
    <row r="276" spans="1:28">
      <c r="A276" s="46"/>
      <c r="B276" s="46"/>
      <c r="C276" s="46"/>
      <c r="D276" s="46"/>
      <c r="E276" s="46"/>
      <c r="F276" s="46"/>
      <c r="G276" s="47"/>
      <c r="H276" s="48"/>
      <c r="I276" s="49"/>
      <c r="J276" s="49"/>
      <c r="AA276">
        <f t="shared" si="4"/>
        <v>5</v>
      </c>
      <c r="AB276">
        <f>IF(AND(A276&lt;&gt;"",K276&lt;&gt;"非表示",IF(タスク一覧!$B$4="すべて",TRUE,B276=タスク一覧!$B$4),IF(タスク一覧!$E$4="すべて",TRUE,C276=タスク一覧!$E$4),IF(タスク一覧!$H$4="すべて",TRUE,IF(タスク一覧!$H$4="完了以外",F276&lt;&gt;"完了",F276=タスク一覧!$H$4))),AA276*1000000+COUNTIF($C$5:$C$300,"&lt;"&amp;C276)*1000+ROW(),1000000000000)</f>
        <v>1000000000000</v>
      </c>
    </row>
    <row r="277" spans="1:28">
      <c r="A277" s="46"/>
      <c r="B277" s="46"/>
      <c r="C277" s="46"/>
      <c r="D277" s="46"/>
      <c r="E277" s="46"/>
      <c r="F277" s="46"/>
      <c r="G277" s="47"/>
      <c r="H277" s="48"/>
      <c r="I277" s="49"/>
      <c r="J277" s="49"/>
      <c r="AA277">
        <f t="shared" si="4"/>
        <v>5</v>
      </c>
      <c r="AB277">
        <f>IF(AND(A277&lt;&gt;"",K277&lt;&gt;"非表示",IF(タスク一覧!$B$4="すべて",TRUE,B277=タスク一覧!$B$4),IF(タスク一覧!$E$4="すべて",TRUE,C277=タスク一覧!$E$4),IF(タスク一覧!$H$4="すべて",TRUE,IF(タスク一覧!$H$4="完了以外",F277&lt;&gt;"完了",F277=タスク一覧!$H$4))),AA277*1000000+COUNTIF($C$5:$C$300,"&lt;"&amp;C277)*1000+ROW(),1000000000000)</f>
        <v>1000000000000</v>
      </c>
    </row>
    <row r="278" spans="1:28">
      <c r="A278" s="46"/>
      <c r="B278" s="46"/>
      <c r="C278" s="46"/>
      <c r="D278" s="46"/>
      <c r="E278" s="46"/>
      <c r="F278" s="46"/>
      <c r="G278" s="47"/>
      <c r="H278" s="48"/>
      <c r="I278" s="49"/>
      <c r="J278" s="49"/>
      <c r="AA278">
        <f t="shared" si="4"/>
        <v>5</v>
      </c>
      <c r="AB278">
        <f>IF(AND(A278&lt;&gt;"",K278&lt;&gt;"非表示",IF(タスク一覧!$B$4="すべて",TRUE,B278=タスク一覧!$B$4),IF(タスク一覧!$E$4="すべて",TRUE,C278=タスク一覧!$E$4),IF(タスク一覧!$H$4="すべて",TRUE,IF(タスク一覧!$H$4="完了以外",F278&lt;&gt;"完了",F278=タスク一覧!$H$4))),AA278*1000000+COUNTIF($C$5:$C$300,"&lt;"&amp;C278)*1000+ROW(),1000000000000)</f>
        <v>1000000000000</v>
      </c>
    </row>
    <row r="279" spans="1:28">
      <c r="A279" s="46"/>
      <c r="B279" s="46"/>
      <c r="C279" s="46"/>
      <c r="D279" s="46"/>
      <c r="E279" s="46"/>
      <c r="F279" s="46"/>
      <c r="G279" s="47"/>
      <c r="H279" s="48"/>
      <c r="I279" s="49"/>
      <c r="J279" s="49"/>
      <c r="AA279">
        <f t="shared" si="4"/>
        <v>5</v>
      </c>
      <c r="AB279">
        <f>IF(AND(A279&lt;&gt;"",K279&lt;&gt;"非表示",IF(タスク一覧!$B$4="すべて",TRUE,B279=タスク一覧!$B$4),IF(タスク一覧!$E$4="すべて",TRUE,C279=タスク一覧!$E$4),IF(タスク一覧!$H$4="すべて",TRUE,IF(タスク一覧!$H$4="完了以外",F279&lt;&gt;"完了",F279=タスク一覧!$H$4))),AA279*1000000+COUNTIF($C$5:$C$300,"&lt;"&amp;C279)*1000+ROW(),1000000000000)</f>
        <v>1000000000000</v>
      </c>
    </row>
    <row r="280" spans="1:28">
      <c r="A280" s="46"/>
      <c r="B280" s="46"/>
      <c r="C280" s="46"/>
      <c r="D280" s="46"/>
      <c r="E280" s="46"/>
      <c r="F280" s="46"/>
      <c r="G280" s="47"/>
      <c r="H280" s="48"/>
      <c r="I280" s="49"/>
      <c r="J280" s="49"/>
      <c r="AA280">
        <f t="shared" si="4"/>
        <v>5</v>
      </c>
      <c r="AB280">
        <f>IF(AND(A280&lt;&gt;"",K280&lt;&gt;"非表示",IF(タスク一覧!$B$4="すべて",TRUE,B280=タスク一覧!$B$4),IF(タスク一覧!$E$4="すべて",TRUE,C280=タスク一覧!$E$4),IF(タスク一覧!$H$4="すべて",TRUE,IF(タスク一覧!$H$4="完了以外",F280&lt;&gt;"完了",F280=タスク一覧!$H$4))),AA280*1000000+COUNTIF($C$5:$C$300,"&lt;"&amp;C280)*1000+ROW(),1000000000000)</f>
        <v>1000000000000</v>
      </c>
    </row>
    <row r="281" spans="1:28">
      <c r="A281" s="46"/>
      <c r="B281" s="46"/>
      <c r="C281" s="46"/>
      <c r="D281" s="46"/>
      <c r="E281" s="46"/>
      <c r="F281" s="46"/>
      <c r="G281" s="47"/>
      <c r="H281" s="48"/>
      <c r="I281" s="49"/>
      <c r="J281" s="49"/>
      <c r="AA281">
        <f t="shared" si="4"/>
        <v>5</v>
      </c>
      <c r="AB281">
        <f>IF(AND(A281&lt;&gt;"",K281&lt;&gt;"非表示",IF(タスク一覧!$B$4="すべて",TRUE,B281=タスク一覧!$B$4),IF(タスク一覧!$E$4="すべて",TRUE,C281=タスク一覧!$E$4),IF(タスク一覧!$H$4="すべて",TRUE,IF(タスク一覧!$H$4="完了以外",F281&lt;&gt;"完了",F281=タスク一覧!$H$4))),AA281*1000000+COUNTIF($C$5:$C$300,"&lt;"&amp;C281)*1000+ROW(),1000000000000)</f>
        <v>1000000000000</v>
      </c>
    </row>
    <row r="282" spans="1:28">
      <c r="A282" s="46"/>
      <c r="B282" s="46"/>
      <c r="C282" s="46"/>
      <c r="D282" s="46"/>
      <c r="E282" s="46"/>
      <c r="F282" s="46"/>
      <c r="G282" s="47"/>
      <c r="H282" s="48"/>
      <c r="I282" s="49"/>
      <c r="J282" s="49"/>
      <c r="AA282">
        <f t="shared" si="4"/>
        <v>5</v>
      </c>
      <c r="AB282">
        <f>IF(AND(A282&lt;&gt;"",K282&lt;&gt;"非表示",IF(タスク一覧!$B$4="すべて",TRUE,B282=タスク一覧!$B$4),IF(タスク一覧!$E$4="すべて",TRUE,C282=タスク一覧!$E$4),IF(タスク一覧!$H$4="すべて",TRUE,IF(タスク一覧!$H$4="完了以外",F282&lt;&gt;"完了",F282=タスク一覧!$H$4))),AA282*1000000+COUNTIF($C$5:$C$300,"&lt;"&amp;C282)*1000+ROW(),1000000000000)</f>
        <v>1000000000000</v>
      </c>
    </row>
    <row r="283" spans="1:28">
      <c r="A283" s="46"/>
      <c r="B283" s="46"/>
      <c r="C283" s="46"/>
      <c r="D283" s="46"/>
      <c r="E283" s="46"/>
      <c r="F283" s="46"/>
      <c r="G283" s="47"/>
      <c r="H283" s="48"/>
      <c r="I283" s="49"/>
      <c r="J283" s="49"/>
      <c r="AA283">
        <f t="shared" si="4"/>
        <v>5</v>
      </c>
      <c r="AB283">
        <f>IF(AND(A283&lt;&gt;"",K283&lt;&gt;"非表示",IF(タスク一覧!$B$4="すべて",TRUE,B283=タスク一覧!$B$4),IF(タスク一覧!$E$4="すべて",TRUE,C283=タスク一覧!$E$4),IF(タスク一覧!$H$4="すべて",TRUE,IF(タスク一覧!$H$4="完了以外",F283&lt;&gt;"完了",F283=タスク一覧!$H$4))),AA283*1000000+COUNTIF($C$5:$C$300,"&lt;"&amp;C283)*1000+ROW(),1000000000000)</f>
        <v>1000000000000</v>
      </c>
    </row>
    <row r="284" spans="1:28">
      <c r="A284" s="46"/>
      <c r="B284" s="46"/>
      <c r="C284" s="46"/>
      <c r="D284" s="46"/>
      <c r="E284" s="46"/>
      <c r="F284" s="46"/>
      <c r="G284" s="47"/>
      <c r="H284" s="48"/>
      <c r="I284" s="49"/>
      <c r="J284" s="49"/>
      <c r="AA284">
        <f t="shared" si="4"/>
        <v>5</v>
      </c>
      <c r="AB284">
        <f>IF(AND(A284&lt;&gt;"",K284&lt;&gt;"非表示",IF(タスク一覧!$B$4="すべて",TRUE,B284=タスク一覧!$B$4),IF(タスク一覧!$E$4="すべて",TRUE,C284=タスク一覧!$E$4),IF(タスク一覧!$H$4="すべて",TRUE,IF(タスク一覧!$H$4="完了以外",F284&lt;&gt;"完了",F284=タスク一覧!$H$4))),AA284*1000000+COUNTIF($C$5:$C$300,"&lt;"&amp;C284)*1000+ROW(),1000000000000)</f>
        <v>1000000000000</v>
      </c>
    </row>
    <row r="285" spans="1:28">
      <c r="A285" s="46"/>
      <c r="B285" s="46"/>
      <c r="C285" s="46"/>
      <c r="D285" s="46"/>
      <c r="E285" s="46"/>
      <c r="F285" s="46"/>
      <c r="G285" s="47"/>
      <c r="H285" s="48"/>
      <c r="I285" s="49"/>
      <c r="J285" s="49"/>
      <c r="AA285">
        <f t="shared" si="4"/>
        <v>5</v>
      </c>
      <c r="AB285">
        <f>IF(AND(A285&lt;&gt;"",K285&lt;&gt;"非表示",IF(タスク一覧!$B$4="すべて",TRUE,B285=タスク一覧!$B$4),IF(タスク一覧!$E$4="すべて",TRUE,C285=タスク一覧!$E$4),IF(タスク一覧!$H$4="すべて",TRUE,IF(タスク一覧!$H$4="完了以外",F285&lt;&gt;"完了",F285=タスク一覧!$H$4))),AA285*1000000+COUNTIF($C$5:$C$300,"&lt;"&amp;C285)*1000+ROW(),1000000000000)</f>
        <v>1000000000000</v>
      </c>
    </row>
    <row r="286" spans="1:28">
      <c r="A286" s="46"/>
      <c r="B286" s="46"/>
      <c r="C286" s="46"/>
      <c r="D286" s="46"/>
      <c r="E286" s="46"/>
      <c r="F286" s="46"/>
      <c r="G286" s="47"/>
      <c r="H286" s="48"/>
      <c r="I286" s="49"/>
      <c r="J286" s="49"/>
      <c r="AA286">
        <f t="shared" si="4"/>
        <v>5</v>
      </c>
      <c r="AB286">
        <f>IF(AND(A286&lt;&gt;"",K286&lt;&gt;"非表示",IF(タスク一覧!$B$4="すべて",TRUE,B286=タスク一覧!$B$4),IF(タスク一覧!$E$4="すべて",TRUE,C286=タスク一覧!$E$4),IF(タスク一覧!$H$4="すべて",TRUE,IF(タスク一覧!$H$4="完了以外",F286&lt;&gt;"完了",F286=タスク一覧!$H$4))),AA286*1000000+COUNTIF($C$5:$C$300,"&lt;"&amp;C286)*1000+ROW(),1000000000000)</f>
        <v>1000000000000</v>
      </c>
    </row>
    <row r="287" spans="1:28">
      <c r="A287" s="46"/>
      <c r="B287" s="46"/>
      <c r="C287" s="46"/>
      <c r="D287" s="46"/>
      <c r="E287" s="46"/>
      <c r="F287" s="46"/>
      <c r="G287" s="47"/>
      <c r="H287" s="48"/>
      <c r="I287" s="49"/>
      <c r="J287" s="49"/>
      <c r="AA287">
        <f t="shared" si="4"/>
        <v>5</v>
      </c>
      <c r="AB287">
        <f>IF(AND(A287&lt;&gt;"",K287&lt;&gt;"非表示",IF(タスク一覧!$B$4="すべて",TRUE,B287=タスク一覧!$B$4),IF(タスク一覧!$E$4="すべて",TRUE,C287=タスク一覧!$E$4),IF(タスク一覧!$H$4="すべて",TRUE,IF(タスク一覧!$H$4="完了以外",F287&lt;&gt;"完了",F287=タスク一覧!$H$4))),AA287*1000000+COUNTIF($C$5:$C$300,"&lt;"&amp;C287)*1000+ROW(),1000000000000)</f>
        <v>1000000000000</v>
      </c>
    </row>
    <row r="288" spans="1:28">
      <c r="A288" s="46"/>
      <c r="B288" s="46"/>
      <c r="C288" s="46"/>
      <c r="D288" s="46"/>
      <c r="E288" s="46"/>
      <c r="F288" s="46"/>
      <c r="G288" s="47"/>
      <c r="H288" s="48"/>
      <c r="I288" s="49"/>
      <c r="J288" s="49"/>
      <c r="AA288">
        <f t="shared" si="4"/>
        <v>5</v>
      </c>
      <c r="AB288">
        <f>IF(AND(A288&lt;&gt;"",K288&lt;&gt;"非表示",IF(タスク一覧!$B$4="すべて",TRUE,B288=タスク一覧!$B$4),IF(タスク一覧!$E$4="すべて",TRUE,C288=タスク一覧!$E$4),IF(タスク一覧!$H$4="すべて",TRUE,IF(タスク一覧!$H$4="完了以外",F288&lt;&gt;"完了",F288=タスク一覧!$H$4))),AA288*1000000+COUNTIF($C$5:$C$300,"&lt;"&amp;C288)*1000+ROW(),1000000000000)</f>
        <v>1000000000000</v>
      </c>
    </row>
    <row r="289" spans="1:28">
      <c r="A289" s="46"/>
      <c r="B289" s="46"/>
      <c r="C289" s="46"/>
      <c r="D289" s="46"/>
      <c r="E289" s="46"/>
      <c r="F289" s="46"/>
      <c r="G289" s="47"/>
      <c r="H289" s="48"/>
      <c r="I289" s="49"/>
      <c r="J289" s="49"/>
      <c r="AA289">
        <f t="shared" si="4"/>
        <v>5</v>
      </c>
      <c r="AB289">
        <f>IF(AND(A289&lt;&gt;"",K289&lt;&gt;"非表示",IF(タスク一覧!$B$4="すべて",TRUE,B289=タスク一覧!$B$4),IF(タスク一覧!$E$4="すべて",TRUE,C289=タスク一覧!$E$4),IF(タスク一覧!$H$4="すべて",TRUE,IF(タスク一覧!$H$4="完了以外",F289&lt;&gt;"完了",F289=タスク一覧!$H$4))),AA289*1000000+COUNTIF($C$5:$C$300,"&lt;"&amp;C289)*1000+ROW(),1000000000000)</f>
        <v>1000000000000</v>
      </c>
    </row>
    <row r="290" spans="1:28">
      <c r="A290" s="46"/>
      <c r="B290" s="46"/>
      <c r="C290" s="46"/>
      <c r="D290" s="46"/>
      <c r="E290" s="46"/>
      <c r="F290" s="46"/>
      <c r="G290" s="47"/>
      <c r="H290" s="48"/>
      <c r="I290" s="49"/>
      <c r="J290" s="49"/>
      <c r="AA290">
        <f t="shared" si="4"/>
        <v>5</v>
      </c>
      <c r="AB290">
        <f>IF(AND(A290&lt;&gt;"",K290&lt;&gt;"非表示",IF(タスク一覧!$B$4="すべて",TRUE,B290=タスク一覧!$B$4),IF(タスク一覧!$E$4="すべて",TRUE,C290=タスク一覧!$E$4),IF(タスク一覧!$H$4="すべて",TRUE,IF(タスク一覧!$H$4="完了以外",F290&lt;&gt;"完了",F290=タスク一覧!$H$4))),AA290*1000000+COUNTIF($C$5:$C$300,"&lt;"&amp;C290)*1000+ROW(),1000000000000)</f>
        <v>1000000000000</v>
      </c>
    </row>
    <row r="291" spans="1:28">
      <c r="A291" s="46"/>
      <c r="B291" s="46"/>
      <c r="C291" s="46"/>
      <c r="D291" s="46"/>
      <c r="E291" s="46"/>
      <c r="F291" s="46"/>
      <c r="G291" s="47"/>
      <c r="H291" s="48"/>
      <c r="I291" s="49"/>
      <c r="J291" s="49"/>
      <c r="AA291">
        <f t="shared" si="4"/>
        <v>5</v>
      </c>
      <c r="AB291">
        <f>IF(AND(A291&lt;&gt;"",K291&lt;&gt;"非表示",IF(タスク一覧!$B$4="すべて",TRUE,B291=タスク一覧!$B$4),IF(タスク一覧!$E$4="すべて",TRUE,C291=タスク一覧!$E$4),IF(タスク一覧!$H$4="すべて",TRUE,IF(タスク一覧!$H$4="完了以外",F291&lt;&gt;"完了",F291=タスク一覧!$H$4))),AA291*1000000+COUNTIF($C$5:$C$300,"&lt;"&amp;C291)*1000+ROW(),1000000000000)</f>
        <v>1000000000000</v>
      </c>
    </row>
    <row r="292" spans="1:28">
      <c r="A292" s="46"/>
      <c r="B292" s="46"/>
      <c r="C292" s="46"/>
      <c r="D292" s="46"/>
      <c r="E292" s="46"/>
      <c r="F292" s="46"/>
      <c r="G292" s="47"/>
      <c r="H292" s="48"/>
      <c r="I292" s="49"/>
      <c r="J292" s="49"/>
      <c r="AA292">
        <f t="shared" si="4"/>
        <v>5</v>
      </c>
      <c r="AB292">
        <f>IF(AND(A292&lt;&gt;"",K292&lt;&gt;"非表示",IF(タスク一覧!$B$4="すべて",TRUE,B292=タスク一覧!$B$4),IF(タスク一覧!$E$4="すべて",TRUE,C292=タスク一覧!$E$4),IF(タスク一覧!$H$4="すべて",TRUE,IF(タスク一覧!$H$4="完了以外",F292&lt;&gt;"完了",F292=タスク一覧!$H$4))),AA292*1000000+COUNTIF($C$5:$C$300,"&lt;"&amp;C292)*1000+ROW(),1000000000000)</f>
        <v>1000000000000</v>
      </c>
    </row>
    <row r="293" spans="1:28">
      <c r="A293" s="46"/>
      <c r="B293" s="46"/>
      <c r="C293" s="46"/>
      <c r="D293" s="46"/>
      <c r="E293" s="46"/>
      <c r="F293" s="46"/>
      <c r="G293" s="47"/>
      <c r="H293" s="48"/>
      <c r="I293" s="49"/>
      <c r="J293" s="49"/>
      <c r="AA293">
        <f t="shared" si="4"/>
        <v>5</v>
      </c>
      <c r="AB293">
        <f>IF(AND(A293&lt;&gt;"",K293&lt;&gt;"非表示",IF(タスク一覧!$B$4="すべて",TRUE,B293=タスク一覧!$B$4),IF(タスク一覧!$E$4="すべて",TRUE,C293=タスク一覧!$E$4),IF(タスク一覧!$H$4="すべて",TRUE,IF(タスク一覧!$H$4="完了以外",F293&lt;&gt;"完了",F293=タスク一覧!$H$4))),AA293*1000000+COUNTIF($C$5:$C$300,"&lt;"&amp;C293)*1000+ROW(),1000000000000)</f>
        <v>1000000000000</v>
      </c>
    </row>
    <row r="294" spans="1:28">
      <c r="A294" s="46"/>
      <c r="B294" s="46"/>
      <c r="C294" s="46"/>
      <c r="D294" s="46"/>
      <c r="E294" s="46"/>
      <c r="F294" s="46"/>
      <c r="G294" s="47"/>
      <c r="H294" s="48"/>
      <c r="I294" s="49"/>
      <c r="J294" s="49"/>
      <c r="AA294">
        <f t="shared" si="4"/>
        <v>5</v>
      </c>
      <c r="AB294">
        <f>IF(AND(A294&lt;&gt;"",K294&lt;&gt;"非表示",IF(タスク一覧!$B$4="すべて",TRUE,B294=タスク一覧!$B$4),IF(タスク一覧!$E$4="すべて",TRUE,C294=タスク一覧!$E$4),IF(タスク一覧!$H$4="すべて",TRUE,IF(タスク一覧!$H$4="完了以外",F294&lt;&gt;"完了",F294=タスク一覧!$H$4))),AA294*1000000+COUNTIF($C$5:$C$300,"&lt;"&amp;C294)*1000+ROW(),1000000000000)</f>
        <v>1000000000000</v>
      </c>
    </row>
    <row r="295" spans="1:28">
      <c r="A295" s="46"/>
      <c r="B295" s="46"/>
      <c r="C295" s="46"/>
      <c r="D295" s="46"/>
      <c r="E295" s="46"/>
      <c r="F295" s="46"/>
      <c r="G295" s="47"/>
      <c r="H295" s="48"/>
      <c r="I295" s="49"/>
      <c r="J295" s="49"/>
      <c r="AA295">
        <f t="shared" si="4"/>
        <v>5</v>
      </c>
      <c r="AB295">
        <f>IF(AND(A295&lt;&gt;"",K295&lt;&gt;"非表示",IF(タスク一覧!$B$4="すべて",TRUE,B295=タスク一覧!$B$4),IF(タスク一覧!$E$4="すべて",TRUE,C295=タスク一覧!$E$4),IF(タスク一覧!$H$4="すべて",TRUE,IF(タスク一覧!$H$4="完了以外",F295&lt;&gt;"完了",F295=タスク一覧!$H$4))),AA295*1000000+COUNTIF($C$5:$C$300,"&lt;"&amp;C295)*1000+ROW(),1000000000000)</f>
        <v>1000000000000</v>
      </c>
    </row>
    <row r="296" spans="1:28">
      <c r="A296" s="46"/>
      <c r="B296" s="46"/>
      <c r="C296" s="46"/>
      <c r="D296" s="46"/>
      <c r="E296" s="46"/>
      <c r="F296" s="46"/>
      <c r="G296" s="47"/>
      <c r="H296" s="48"/>
      <c r="I296" s="49"/>
      <c r="J296" s="49"/>
      <c r="AA296">
        <f t="shared" si="4"/>
        <v>5</v>
      </c>
      <c r="AB296">
        <f>IF(AND(A296&lt;&gt;"",K296&lt;&gt;"非表示",IF(タスク一覧!$B$4="すべて",TRUE,B296=タスク一覧!$B$4),IF(タスク一覧!$E$4="すべて",TRUE,C296=タスク一覧!$E$4),IF(タスク一覧!$H$4="すべて",TRUE,IF(タスク一覧!$H$4="完了以外",F296&lt;&gt;"完了",F296=タスク一覧!$H$4))),AA296*1000000+COUNTIF($C$5:$C$300,"&lt;"&amp;C296)*1000+ROW(),1000000000000)</f>
        <v>1000000000000</v>
      </c>
    </row>
    <row r="297" spans="1:28">
      <c r="A297" s="46"/>
      <c r="B297" s="46"/>
      <c r="C297" s="46"/>
      <c r="D297" s="46"/>
      <c r="E297" s="46"/>
      <c r="F297" s="46"/>
      <c r="G297" s="47"/>
      <c r="H297" s="48"/>
      <c r="I297" s="49"/>
      <c r="J297" s="49"/>
      <c r="AA297">
        <f t="shared" si="4"/>
        <v>5</v>
      </c>
      <c r="AB297">
        <f>IF(AND(A297&lt;&gt;"",K297&lt;&gt;"非表示",IF(タスク一覧!$B$4="すべて",TRUE,B297=タスク一覧!$B$4),IF(タスク一覧!$E$4="すべて",TRUE,C297=タスク一覧!$E$4),IF(タスク一覧!$H$4="すべて",TRUE,IF(タスク一覧!$H$4="完了以外",F297&lt;&gt;"完了",F297=タスク一覧!$H$4))),AA297*1000000+COUNTIF($C$5:$C$300,"&lt;"&amp;C297)*1000+ROW(),1000000000000)</f>
        <v>1000000000000</v>
      </c>
    </row>
    <row r="298" spans="1:28">
      <c r="A298" s="46"/>
      <c r="B298" s="46"/>
      <c r="C298" s="46"/>
      <c r="D298" s="46"/>
      <c r="E298" s="46"/>
      <c r="F298" s="46"/>
      <c r="G298" s="47"/>
      <c r="H298" s="48"/>
      <c r="I298" s="49"/>
      <c r="J298" s="49"/>
      <c r="AA298">
        <f t="shared" si="4"/>
        <v>5</v>
      </c>
      <c r="AB298">
        <f>IF(AND(A298&lt;&gt;"",K298&lt;&gt;"非表示",IF(タスク一覧!$B$4="すべて",TRUE,B298=タスク一覧!$B$4),IF(タスク一覧!$E$4="すべて",TRUE,C298=タスク一覧!$E$4),IF(タスク一覧!$H$4="すべて",TRUE,IF(タスク一覧!$H$4="完了以外",F298&lt;&gt;"完了",F298=タスク一覧!$H$4))),AA298*1000000+COUNTIF($C$5:$C$300,"&lt;"&amp;C298)*1000+ROW(),1000000000000)</f>
        <v>1000000000000</v>
      </c>
    </row>
    <row r="299" spans="1:28">
      <c r="A299" s="46"/>
      <c r="B299" s="46"/>
      <c r="C299" s="46"/>
      <c r="D299" s="46"/>
      <c r="E299" s="46"/>
      <c r="F299" s="46"/>
      <c r="G299" s="47"/>
      <c r="H299" s="48"/>
      <c r="I299" s="49"/>
      <c r="J299" s="49"/>
      <c r="AA299">
        <f t="shared" si="4"/>
        <v>5</v>
      </c>
      <c r="AB299">
        <f>IF(AND(A299&lt;&gt;"",K299&lt;&gt;"非表示",IF(タスク一覧!$B$4="すべて",TRUE,B299=タスク一覧!$B$4),IF(タスク一覧!$E$4="すべて",TRUE,C299=タスク一覧!$E$4),IF(タスク一覧!$H$4="すべて",TRUE,IF(タスク一覧!$H$4="完了以外",F299&lt;&gt;"完了",F299=タスク一覧!$H$4))),AA299*1000000+COUNTIF($C$5:$C$300,"&lt;"&amp;C299)*1000+ROW(),1000000000000)</f>
        <v>1000000000000</v>
      </c>
    </row>
    <row r="300" spans="1:28">
      <c r="A300" s="46"/>
      <c r="B300" s="46"/>
      <c r="C300" s="46"/>
      <c r="D300" s="46"/>
      <c r="E300" s="46"/>
      <c r="F300" s="46"/>
      <c r="G300" s="47"/>
      <c r="H300" s="48"/>
      <c r="I300" s="49"/>
      <c r="J300" s="49"/>
      <c r="AA300">
        <f t="shared" si="4"/>
        <v>5</v>
      </c>
      <c r="AB300">
        <f>IF(AND(A300&lt;&gt;"",K300&lt;&gt;"非表示",IF(タスク一覧!$B$4="すべて",TRUE,B300=タスク一覧!$B$4),IF(タスク一覧!$E$4="すべて",TRUE,C300=タスク一覧!$E$4),IF(タスク一覧!$H$4="すべて",TRUE,IF(タスク一覧!$H$4="完了以外",F300&lt;&gt;"完了",F300=タスク一覧!$H$4))),AA300*1000000+COUNTIF($C$5:$C$300,"&lt;"&amp;C300)*1000+ROW(),1000000000000)</f>
        <v>1000000000000</v>
      </c>
    </row>
  </sheetData>
  <phoneticPr fontId="18"/>
  <dataValidations count="2">
    <dataValidation type="list" sqref="K5:K300" xr:uid="{00000000-0002-0000-0100-000000000000}">
      <formula1>"表示,非表示"</formula1>
    </dataValidation>
    <dataValidation type="list" sqref="F5:F300" xr:uid="{00000000-0002-0000-0100-000001000000}">
      <formula1>"コードあり・要確認,一部実装,完了,計画追加,進行中,未着手"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Q42"/>
  <sheetViews>
    <sheetView showGridLines="0" workbookViewId="0">
      <pane ySplit="3" topLeftCell="A4" activePane="bottomLeft" state="frozen"/>
      <selection pane="bottomLeft"/>
    </sheetView>
  </sheetViews>
  <sheetFormatPr defaultRowHeight="14.25"/>
  <cols>
    <col min="1" max="2" width="14" customWidth="1"/>
    <col min="3" max="4" width="12" customWidth="1"/>
    <col min="5" max="6" width="16" customWidth="1"/>
    <col min="7" max="7" width="14" customWidth="1"/>
    <col min="8" max="8" width="22" customWidth="1"/>
    <col min="9" max="9" width="74" customWidth="1"/>
    <col min="10" max="10" width="3" customWidth="1"/>
    <col min="11" max="17" width="7" customWidth="1"/>
  </cols>
  <sheetData>
    <row r="1" spans="1:17" ht="19.5">
      <c r="A1" s="1" t="s">
        <v>208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7">
      <c r="A2" s="2" t="s">
        <v>209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7">
      <c r="A3" s="12" t="s">
        <v>12</v>
      </c>
      <c r="B3" s="12" t="s">
        <v>13</v>
      </c>
      <c r="C3" s="12" t="s">
        <v>210</v>
      </c>
      <c r="D3" s="12" t="s">
        <v>6</v>
      </c>
      <c r="E3" s="12" t="s">
        <v>211</v>
      </c>
      <c r="F3" s="12" t="s">
        <v>212</v>
      </c>
      <c r="G3" s="12" t="s">
        <v>4</v>
      </c>
      <c r="H3" s="12" t="s">
        <v>5</v>
      </c>
      <c r="I3" s="12" t="s">
        <v>213</v>
      </c>
    </row>
    <row r="4" spans="1:17" ht="36" customHeight="1">
      <c r="A4" s="6" t="s">
        <v>15</v>
      </c>
      <c r="B4" s="13">
        <v>46326</v>
      </c>
      <c r="C4" s="14">
        <f ca="1">MAX(0,B4-TODAY())</f>
        <v>19</v>
      </c>
      <c r="D4" s="14">
        <f ca="1">MAX(0,NETWORKDAYS(TODAY()+1,B4))</f>
        <v>14</v>
      </c>
      <c r="E4" s="14">
        <f>SUMIF(タスク!$B$5:$B$300,"プロト",タスク!$G$5:$G$300)</f>
        <v>177</v>
      </c>
      <c r="F4" s="15">
        <f>IF(COUNT(タスク!$H$5:$H$300)=0,"",SUMIF(タスク!$B$5:$B$300,"プロト",タスク!$H$5:$H$300))</f>
        <v>56</v>
      </c>
      <c r="G4" s="15">
        <f>E4-IF(F4="",0,F4)</f>
        <v>121</v>
      </c>
      <c r="H4" s="16">
        <f ca="1">IF(D4=0,"",MAX(0,G4)/D4)</f>
        <v>8.6428571428571423</v>
      </c>
      <c r="I4" s="17" t="s">
        <v>214</v>
      </c>
    </row>
    <row r="5" spans="1:17" ht="36" customHeight="1">
      <c r="A5" s="6" t="s">
        <v>16</v>
      </c>
      <c r="B5" s="13">
        <v>46351</v>
      </c>
      <c r="C5" s="14">
        <f ca="1">MAX(0,B5-TODAY())</f>
        <v>44</v>
      </c>
      <c r="D5" s="14">
        <f ca="1">MAX(0,NETWORKDAYS(TODAY()+1,B5))</f>
        <v>32</v>
      </c>
      <c r="E5" s="14">
        <f>SUMIF(タスク!$B$5:$B$300,"プロト",タスク!$G$5:$G$300)+SUMIF(タスク!$B$5:$B$300,"アルファ",タスク!$G$5:$G$300)</f>
        <v>284</v>
      </c>
      <c r="F5" s="15">
        <f>IF(COUNT(タスク!$H$5:$H$300)=0,"",SUMIF(タスク!$B$5:$B$300,"プロト",タスク!$H$5:$H$300)+SUMIF(タスク!$B$5:$B$300,"アルファ",タスク!$H$5:$H$300))</f>
        <v>56</v>
      </c>
      <c r="G5" s="15">
        <f>E5-IF(F5="",0,F5)</f>
        <v>228</v>
      </c>
      <c r="H5" s="16">
        <f ca="1">IF(D5=0,"",MAX(0,G5)/D5)</f>
        <v>7.125</v>
      </c>
      <c r="I5" s="17" t="s">
        <v>215</v>
      </c>
    </row>
    <row r="6" spans="1:17" ht="36" customHeight="1">
      <c r="A6" s="6" t="s">
        <v>17</v>
      </c>
      <c r="B6" s="13">
        <v>46372</v>
      </c>
      <c r="C6" s="14">
        <f ca="1">MAX(0,B6-TODAY())</f>
        <v>65</v>
      </c>
      <c r="D6" s="14">
        <f ca="1">MAX(0,NETWORKDAYS(TODAY()+1,B6))</f>
        <v>47</v>
      </c>
      <c r="E6" s="14">
        <f>SUMIF(タスク!$B$5:$B$300,"プロト",タスク!$G$5:$G$300)+SUMIF(タスク!$B$5:$B$300,"アルファ",タスク!$G$5:$G$300)+SUMIF(タスク!$B$5:$B$300,"ベータ",タスク!$G$5:$G$300)</f>
        <v>309</v>
      </c>
      <c r="F6" s="15">
        <f>IF(COUNT(タスク!$H$5:$H$300)=0,"",SUMIF(タスク!$B$5:$B$300,"プロト",タスク!$H$5:$H$300)+SUMIF(タスク!$B$5:$B$300,"アルファ",タスク!$H$5:$H$300)+SUMIF(タスク!$B$5:$B$300,"ベータ",タスク!$H$5:$H$300))</f>
        <v>56</v>
      </c>
      <c r="G6" s="15">
        <f>E6-IF(F6="",0,F6)</f>
        <v>253</v>
      </c>
      <c r="H6" s="16">
        <f ca="1">IF(D6=0,"",MAX(0,G6)/D6)</f>
        <v>5.3829787234042552</v>
      </c>
      <c r="I6" s="17" t="s">
        <v>216</v>
      </c>
    </row>
    <row r="7" spans="1:17" ht="36" customHeight="1">
      <c r="A7" s="6" t="s">
        <v>18</v>
      </c>
      <c r="B7" s="13">
        <v>46387</v>
      </c>
      <c r="C7" s="14">
        <f ca="1">MAX(0,B7-TODAY())</f>
        <v>80</v>
      </c>
      <c r="D7" s="14">
        <f ca="1">MAX(0,NETWORKDAYS(TODAY()+1,B7))</f>
        <v>58</v>
      </c>
      <c r="E7" s="14">
        <f>SUMIF(タスク!$B$5:$B$300,"プロト",タスク!$G$5:$G$300)+SUMIF(タスク!$B$5:$B$300,"アルファ",タスク!$G$5:$G$300)+SUMIF(タスク!$B$5:$B$300,"ベータ",タスク!$G$5:$G$300)+SUMIF(タスク!$B$5:$B$300,"マスター",タスク!$G$5:$G$300)</f>
        <v>317</v>
      </c>
      <c r="F7" s="15">
        <f>IF(COUNT(タスク!$H$5:$H$300)=0,"",SUMIF(タスク!$B$5:$B$300,"プロト",タスク!$H$5:$H$300)+SUMIF(タスク!$B$5:$B$300,"アルファ",タスク!$H$5:$H$300)+SUMIF(タスク!$B$5:$B$300,"ベータ",タスク!$H$5:$H$300)+SUMIF(タスク!$B$5:$B$300,"マスター",タスク!$H$5:$H$300))</f>
        <v>56</v>
      </c>
      <c r="G7" s="15">
        <f>E7-IF(F7="",0,F7)</f>
        <v>261</v>
      </c>
      <c r="H7" s="16">
        <f ca="1">IF(D7=0,"",MAX(0,G7)/D7)</f>
        <v>4.5</v>
      </c>
      <c r="I7" s="17" t="s">
        <v>217</v>
      </c>
    </row>
    <row r="8" spans="1:17" ht="36" customHeight="1">
      <c r="A8" s="6" t="s">
        <v>19</v>
      </c>
      <c r="B8" s="13">
        <v>46387</v>
      </c>
      <c r="C8" s="14">
        <f ca="1">MAX(0,B8-TODAY())</f>
        <v>80</v>
      </c>
      <c r="D8" s="14">
        <f ca="1">MAX(0,NETWORKDAYS(TODAY()+1,B8))</f>
        <v>58</v>
      </c>
      <c r="E8" s="14">
        <f>SUMIF(タスク!$B$5:$B$300,"プロト",タスク!$G$5:$G$300)+SUMIF(タスク!$B$5:$B$300,"アルファ",タスク!$G$5:$G$300)+SUMIF(タスク!$B$5:$B$300,"ベータ",タスク!$G$5:$G$300)+SUMIF(タスク!$B$5:$B$300,"マスター",タスク!$G$5:$G$300)</f>
        <v>317</v>
      </c>
      <c r="F8" s="15">
        <f>IF(COUNT(タスク!$H$5:$H$300)=0,"",SUMIF(タスク!$B$5:$B$300,"プロト",タスク!$H$5:$H$300)+SUMIF(タスク!$B$5:$B$300,"アルファ",タスク!$H$5:$H$300)+SUMIF(タスク!$B$5:$B$300,"ベータ",タスク!$H$5:$H$300)+SUMIF(タスク!$B$5:$B$300,"マスター",タスク!$H$5:$H$300))</f>
        <v>56</v>
      </c>
      <c r="G8" s="15">
        <f>E8-IF(F8="",0,F8)</f>
        <v>261</v>
      </c>
      <c r="H8" s="16">
        <f ca="1">IF(D8=0,"",MAX(0,G8)/D8)</f>
        <v>4.5</v>
      </c>
      <c r="I8" s="17" t="s">
        <v>19</v>
      </c>
    </row>
    <row r="11" spans="1:17">
      <c r="K11" s="18"/>
      <c r="L11" s="18"/>
      <c r="M11" s="18"/>
      <c r="N11" s="18"/>
      <c r="O11" s="18"/>
      <c r="P11" s="18"/>
      <c r="Q11" s="18"/>
    </row>
    <row r="12" spans="1:17">
      <c r="K12" s="10" t="s">
        <v>218</v>
      </c>
      <c r="L12" s="10"/>
      <c r="M12" s="10"/>
      <c r="N12" s="10"/>
      <c r="O12" s="10"/>
      <c r="P12" s="10"/>
      <c r="Q12" s="10"/>
    </row>
    <row r="13" spans="1:17" ht="21.95" customHeight="1">
      <c r="K13" s="11" t="s">
        <v>219</v>
      </c>
      <c r="L13" s="11" t="s">
        <v>220</v>
      </c>
      <c r="M13" s="11" t="s">
        <v>221</v>
      </c>
      <c r="N13" s="11" t="s">
        <v>222</v>
      </c>
      <c r="O13" s="11" t="s">
        <v>223</v>
      </c>
      <c r="P13" s="11" t="s">
        <v>224</v>
      </c>
      <c r="Q13" s="11" t="s">
        <v>225</v>
      </c>
    </row>
    <row r="14" spans="1:17" ht="21.95" customHeight="1">
      <c r="K14" s="11"/>
      <c r="L14" s="11"/>
      <c r="M14" s="11"/>
      <c r="N14" s="11"/>
      <c r="O14" s="40">
        <v>1</v>
      </c>
      <c r="P14" s="40">
        <v>2</v>
      </c>
      <c r="Q14" s="40">
        <v>3</v>
      </c>
    </row>
    <row r="15" spans="1:17" ht="21.95" customHeight="1">
      <c r="K15" s="40">
        <v>4</v>
      </c>
      <c r="L15" s="40">
        <v>5</v>
      </c>
      <c r="M15" s="40">
        <v>6</v>
      </c>
      <c r="N15" s="40">
        <v>7</v>
      </c>
      <c r="O15" s="40">
        <v>8</v>
      </c>
      <c r="P15" s="40">
        <v>9</v>
      </c>
      <c r="Q15" s="40">
        <v>10</v>
      </c>
    </row>
    <row r="16" spans="1:17" ht="21.95" customHeight="1">
      <c r="K16" s="40">
        <v>11</v>
      </c>
      <c r="L16" s="40">
        <v>12</v>
      </c>
      <c r="M16" s="40">
        <v>13</v>
      </c>
      <c r="N16" s="40">
        <v>14</v>
      </c>
      <c r="O16" s="40">
        <v>15</v>
      </c>
      <c r="P16" s="40">
        <v>16</v>
      </c>
      <c r="Q16" s="40">
        <v>17</v>
      </c>
    </row>
    <row r="17" spans="11:17" ht="21.95" customHeight="1">
      <c r="K17" s="40">
        <v>18</v>
      </c>
      <c r="L17" s="40">
        <v>19</v>
      </c>
      <c r="M17" s="40">
        <v>20</v>
      </c>
      <c r="N17" s="40">
        <v>21</v>
      </c>
      <c r="O17" s="40">
        <v>22</v>
      </c>
      <c r="P17" s="40">
        <v>23</v>
      </c>
      <c r="Q17" s="40">
        <v>24</v>
      </c>
    </row>
    <row r="18" spans="11:17" ht="21.95" customHeight="1">
      <c r="K18" s="40">
        <v>25</v>
      </c>
      <c r="L18" s="40">
        <v>26</v>
      </c>
      <c r="M18" s="40">
        <v>27</v>
      </c>
      <c r="N18" s="40">
        <v>28</v>
      </c>
      <c r="O18" s="40">
        <v>29</v>
      </c>
      <c r="P18" s="40">
        <v>30</v>
      </c>
      <c r="Q18" s="40">
        <v>31</v>
      </c>
    </row>
    <row r="19" spans="11:17">
      <c r="K19" s="18"/>
      <c r="L19" s="18"/>
      <c r="M19" s="18"/>
      <c r="N19" s="18"/>
      <c r="O19" s="18"/>
      <c r="P19" s="18"/>
      <c r="Q19" s="18"/>
    </row>
    <row r="20" spans="11:17">
      <c r="K20" s="10" t="s">
        <v>226</v>
      </c>
      <c r="L20" s="10"/>
      <c r="M20" s="10"/>
      <c r="N20" s="10"/>
      <c r="O20" s="10"/>
      <c r="P20" s="10"/>
      <c r="Q20" s="10"/>
    </row>
    <row r="21" spans="11:17" ht="21.95" customHeight="1">
      <c r="K21" s="11" t="s">
        <v>219</v>
      </c>
      <c r="L21" s="11" t="s">
        <v>220</v>
      </c>
      <c r="M21" s="11" t="s">
        <v>221</v>
      </c>
      <c r="N21" s="11" t="s">
        <v>222</v>
      </c>
      <c r="O21" s="11" t="s">
        <v>223</v>
      </c>
      <c r="P21" s="11" t="s">
        <v>224</v>
      </c>
      <c r="Q21" s="11" t="s">
        <v>225</v>
      </c>
    </row>
    <row r="22" spans="11:17" ht="21.95" customHeight="1">
      <c r="K22" s="41">
        <v>1</v>
      </c>
      <c r="L22" s="41">
        <v>2</v>
      </c>
      <c r="M22" s="41">
        <v>3</v>
      </c>
      <c r="N22" s="41">
        <v>4</v>
      </c>
      <c r="O22" s="41">
        <v>5</v>
      </c>
      <c r="P22" s="41">
        <v>6</v>
      </c>
      <c r="Q22" s="41">
        <v>7</v>
      </c>
    </row>
    <row r="23" spans="11:17" ht="21.95" customHeight="1">
      <c r="K23" s="41">
        <v>8</v>
      </c>
      <c r="L23" s="41">
        <v>9</v>
      </c>
      <c r="M23" s="41">
        <v>10</v>
      </c>
      <c r="N23" s="41">
        <v>11</v>
      </c>
      <c r="O23" s="41">
        <v>12</v>
      </c>
      <c r="P23" s="41">
        <v>13</v>
      </c>
      <c r="Q23" s="41">
        <v>14</v>
      </c>
    </row>
    <row r="24" spans="11:17" ht="21.95" customHeight="1">
      <c r="K24" s="41">
        <v>15</v>
      </c>
      <c r="L24" s="41">
        <v>16</v>
      </c>
      <c r="M24" s="41">
        <v>17</v>
      </c>
      <c r="N24" s="41">
        <v>18</v>
      </c>
      <c r="O24" s="41">
        <v>19</v>
      </c>
      <c r="P24" s="41">
        <v>20</v>
      </c>
      <c r="Q24" s="41">
        <v>21</v>
      </c>
    </row>
    <row r="25" spans="11:17" ht="21.95" customHeight="1">
      <c r="K25" s="41">
        <v>22</v>
      </c>
      <c r="L25" s="41">
        <v>23</v>
      </c>
      <c r="M25" s="41">
        <v>24</v>
      </c>
      <c r="N25" s="41">
        <v>25</v>
      </c>
      <c r="O25" s="42">
        <v>26</v>
      </c>
      <c r="P25" s="42">
        <v>27</v>
      </c>
      <c r="Q25" s="42">
        <v>28</v>
      </c>
    </row>
    <row r="26" spans="11:17" ht="21.95" customHeight="1">
      <c r="K26" s="42">
        <v>29</v>
      </c>
      <c r="L26" s="42">
        <v>30</v>
      </c>
      <c r="M26" s="11"/>
      <c r="N26" s="11"/>
      <c r="O26" s="11"/>
      <c r="P26" s="11"/>
      <c r="Q26" s="11"/>
    </row>
    <row r="27" spans="11:17">
      <c r="K27" s="55"/>
      <c r="L27" s="55"/>
      <c r="M27" s="55"/>
      <c r="N27" s="55"/>
      <c r="O27" s="55"/>
      <c r="P27" s="55"/>
      <c r="Q27" s="55"/>
    </row>
    <row r="28" spans="11:17">
      <c r="K28" s="10" t="s">
        <v>227</v>
      </c>
      <c r="L28" s="10"/>
      <c r="M28" s="10"/>
      <c r="N28" s="10"/>
      <c r="O28" s="10"/>
      <c r="P28" s="10"/>
      <c r="Q28" s="10"/>
    </row>
    <row r="29" spans="11:17" ht="21.95" customHeight="1">
      <c r="K29" s="11" t="s">
        <v>219</v>
      </c>
      <c r="L29" s="11" t="s">
        <v>220</v>
      </c>
      <c r="M29" s="11" t="s">
        <v>221</v>
      </c>
      <c r="N29" s="11" t="s">
        <v>222</v>
      </c>
      <c r="O29" s="11" t="s">
        <v>223</v>
      </c>
      <c r="P29" s="11" t="s">
        <v>224</v>
      </c>
      <c r="Q29" s="11" t="s">
        <v>225</v>
      </c>
    </row>
    <row r="30" spans="11:17" ht="21.95" customHeight="1">
      <c r="K30" s="11"/>
      <c r="L30" s="11"/>
      <c r="M30" s="42">
        <v>1</v>
      </c>
      <c r="N30" s="42">
        <v>2</v>
      </c>
      <c r="O30" s="42">
        <v>3</v>
      </c>
      <c r="P30" s="42">
        <v>4</v>
      </c>
      <c r="Q30" s="42">
        <v>5</v>
      </c>
    </row>
    <row r="31" spans="11:17" ht="21.95" customHeight="1">
      <c r="K31" s="42">
        <v>6</v>
      </c>
      <c r="L31" s="42">
        <v>7</v>
      </c>
      <c r="M31" s="42">
        <v>8</v>
      </c>
      <c r="N31" s="42">
        <v>9</v>
      </c>
      <c r="O31" s="42">
        <v>10</v>
      </c>
      <c r="P31" s="42">
        <v>11</v>
      </c>
      <c r="Q31" s="42">
        <v>12</v>
      </c>
    </row>
    <row r="32" spans="11:17" ht="21.95" customHeight="1">
      <c r="K32" s="42">
        <v>13</v>
      </c>
      <c r="L32" s="42">
        <v>14</v>
      </c>
      <c r="M32" s="42">
        <v>15</v>
      </c>
      <c r="N32" s="42">
        <v>16</v>
      </c>
      <c r="O32" s="11">
        <v>17</v>
      </c>
      <c r="P32" s="11">
        <v>18</v>
      </c>
      <c r="Q32" s="11">
        <v>19</v>
      </c>
    </row>
    <row r="33" spans="11:17" ht="21.95" customHeight="1">
      <c r="K33" s="11">
        <v>20</v>
      </c>
      <c r="L33" s="11">
        <v>21</v>
      </c>
      <c r="M33" s="11">
        <v>22</v>
      </c>
      <c r="N33" s="11">
        <v>23</v>
      </c>
      <c r="O33" s="11">
        <v>24</v>
      </c>
      <c r="P33" s="11">
        <v>25</v>
      </c>
      <c r="Q33" s="11">
        <v>26</v>
      </c>
    </row>
    <row r="34" spans="11:17" ht="21.95" customHeight="1">
      <c r="K34" s="11">
        <v>27</v>
      </c>
      <c r="L34" s="11">
        <v>28</v>
      </c>
      <c r="M34" s="11">
        <v>29</v>
      </c>
      <c r="N34" s="11">
        <v>30</v>
      </c>
      <c r="O34" s="43">
        <v>31</v>
      </c>
      <c r="P34" s="11"/>
      <c r="Q34" s="11"/>
    </row>
    <row r="37" spans="11:17" ht="21.95" customHeight="1"/>
    <row r="38" spans="11:17" ht="21.95" customHeight="1"/>
    <row r="39" spans="11:17" ht="21.95" customHeight="1"/>
    <row r="40" spans="11:17" ht="21.95" customHeight="1"/>
    <row r="41" spans="11:17" ht="21.95" customHeight="1"/>
    <row r="42" spans="11:17" ht="21.95" customHeight="1"/>
  </sheetData>
  <mergeCells count="1">
    <mergeCell ref="K27:Q27"/>
  </mergeCells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06"/>
  <sheetViews>
    <sheetView showGridLines="0" tabSelected="1" workbookViewId="0">
      <pane ySplit="6" topLeftCell="A7" activePane="bottomLeft" state="frozen"/>
      <selection pane="bottomLeft" activeCell="F21" sqref="F21"/>
    </sheetView>
  </sheetViews>
  <sheetFormatPr defaultRowHeight="14.25"/>
  <cols>
    <col min="1" max="1" width="10" customWidth="1"/>
    <col min="2" max="3" width="14" customWidth="1"/>
    <col min="4" max="4" width="42" customWidth="1"/>
    <col min="5" max="5" width="15" customWidth="1"/>
    <col min="6" max="6" width="20.5" bestFit="1" customWidth="1"/>
    <col min="7" max="8" width="12" customWidth="1"/>
    <col min="9" max="9" width="48" customWidth="1"/>
    <col min="10" max="10" width="36" customWidth="1"/>
  </cols>
  <sheetData>
    <row r="1" spans="1:10" ht="32.1" customHeight="1">
      <c r="A1" s="56" t="s">
        <v>233</v>
      </c>
      <c r="B1" s="56"/>
      <c r="C1" s="56"/>
      <c r="D1" s="56"/>
      <c r="E1" s="56"/>
      <c r="F1" s="56"/>
      <c r="G1" s="56"/>
      <c r="H1" s="56"/>
      <c r="I1" s="56"/>
      <c r="J1" s="56"/>
    </row>
    <row r="2" spans="1:10" ht="30" customHeight="1">
      <c r="A2" s="57" t="s">
        <v>234</v>
      </c>
      <c r="B2" s="57"/>
      <c r="C2" s="57"/>
      <c r="D2" s="57"/>
      <c r="E2" s="57"/>
      <c r="F2" s="57"/>
      <c r="G2" s="57"/>
      <c r="H2" s="57"/>
      <c r="I2" s="57"/>
      <c r="J2" s="57"/>
    </row>
    <row r="4" spans="1:10" ht="15">
      <c r="A4" s="50" t="s">
        <v>12</v>
      </c>
      <c r="B4" s="51" t="s">
        <v>235</v>
      </c>
      <c r="C4" s="50"/>
      <c r="D4" s="50" t="s">
        <v>23</v>
      </c>
      <c r="E4" s="51" t="s">
        <v>235</v>
      </c>
      <c r="F4" s="50"/>
      <c r="G4" s="50" t="s">
        <v>26</v>
      </c>
      <c r="H4" s="51" t="s">
        <v>235</v>
      </c>
    </row>
    <row r="6" spans="1:10" ht="32.1" customHeight="1">
      <c r="A6" s="52" t="s">
        <v>22</v>
      </c>
      <c r="B6" s="52" t="s">
        <v>12</v>
      </c>
      <c r="C6" s="52" t="s">
        <v>23</v>
      </c>
      <c r="D6" s="52" t="s">
        <v>24</v>
      </c>
      <c r="E6" s="52" t="s">
        <v>25</v>
      </c>
      <c r="F6" s="52" t="s">
        <v>26</v>
      </c>
      <c r="G6" s="52" t="s">
        <v>2</v>
      </c>
      <c r="H6" s="52" t="s">
        <v>3</v>
      </c>
      <c r="I6" s="52" t="s">
        <v>27</v>
      </c>
      <c r="J6" s="52" t="s">
        <v>28</v>
      </c>
    </row>
    <row r="7" spans="1:10">
      <c r="A7" s="53" t="str">
        <f>IFERROR(IF(SMALL(タスク!$AB$5:$AB$300,ROWS($A$7:A7))&gt;=1000000000000,"",INDEX(タスク!A$5:A$300,MATCH(SMALL(タスク!$AB$5:$AB$300,ROWS($A$7:A7)),タスク!$AB$5:$AB$300,0))),"")</f>
        <v>T012</v>
      </c>
      <c r="B7" s="53" t="str">
        <f>IFERROR(IF(SMALL(タスク!$AB$5:$AB$300,ROWS($A$7:A7))&gt;=1000000000000,"",INDEX(タスク!B$5:B$300,MATCH(SMALL(タスク!$AB$5:$AB$300,ROWS($A$7:A7)),タスク!$AB$5:$AB$300,0))),"")</f>
        <v>プロト</v>
      </c>
      <c r="C7" s="53" t="str">
        <f>IFERROR(IF(SMALL(タスク!$AB$5:$AB$300,ROWS($A$7:A7))&gt;=1000000000000,"",INDEX(タスク!C$5:C$300,MATCH(SMALL(タスク!$AB$5:$AB$300,ROWS($A$7:A7)),タスク!$AB$5:$AB$300,0))),"")</f>
        <v>カメラ</v>
      </c>
      <c r="D7" s="53" t="str">
        <f>IFERROR(IF(SMALL(タスク!$AB$5:$AB$300,ROWS($A$7:A7))&gt;=1000000000000,"",INDEX(タスク!D$5:D$300,MATCH(SMALL(タスク!$AB$5:$AB$300,ROWS($A$7:A7)),タスク!$AB$5:$AB$300,0))),"")</f>
        <v>通常カメラ</v>
      </c>
      <c r="E7" s="53" t="str">
        <f>IFERROR(IF(SMALL(タスク!$AB$5:$AB$300,ROWS($A$7:A7))&gt;=1000000000000,"",INDEX(タスク!E$5:E$300,MATCH(SMALL(タスク!$AB$5:$AB$300,ROWS($A$7:A7)),タスク!$AB$5:$AB$300,0))),"")</f>
        <v>S</v>
      </c>
      <c r="F7" s="53" t="str">
        <f>IFERROR(IF(SMALL(タスク!$AB$5:$AB$300,ROWS($A$7:A7))&gt;=1000000000000,"",INDEX(タスク!F$5:F$300,MATCH(SMALL(タスク!$AB$5:$AB$300,ROWS($A$7:A7)),タスク!$AB$5:$AB$300,0))),"")</f>
        <v>完了</v>
      </c>
      <c r="G7" s="53">
        <f>IFERROR(IF(SMALL(タスク!$AB$5:$AB$300,ROWS($A$7:A7))&gt;=1000000000000,"",INDEX(タスク!G$5:G$300,MATCH(SMALL(タスク!$AB$5:$AB$300,ROWS($A$7:A7)),タスク!$AB$5:$AB$300,0))),"")</f>
        <v>7</v>
      </c>
      <c r="H7" s="53">
        <f>IFERROR(IF(SMALL(タスク!$AB$5:$AB$300,ROWS($A$7:A7))&gt;=1000000000000,"",INDEX(タスク!H$5:H$300,MATCH(SMALL(タスク!$AB$5:$AB$300,ROWS($A$7:A7)),タスク!$AB$5:$AB$300,0))),"")</f>
        <v>5</v>
      </c>
      <c r="I7" s="53" t="str">
        <f>IFERROR(IF(SMALL(タスク!$AB$5:$AB$300,ROWS($A$7:A7))&gt;=1000000000000,"",INDEX(タスク!I$5:I$300,MATCH(SMALL(タスク!$AB$5:$AB$300,ROWS($A$7:A7)),タスク!$AB$5:$AB$300,0))),"")</f>
        <v>Camera.cpp/hあり</v>
      </c>
      <c r="J7" s="53">
        <f>IFERROR(IF(SMALL(タスク!$AB$5:$AB$300,ROWS($A$7:A7))&gt;=1000000000000,"",INDEX(タスク!J$5:J$300,MATCH(SMALL(タスク!$AB$5:$AB$300,ROWS($A$7:A7)),タスク!$AB$5:$AB$300,0))),"")</f>
        <v>0</v>
      </c>
    </row>
    <row r="8" spans="1:10">
      <c r="A8" s="53" t="str">
        <f>IFERROR(IF(SMALL(タスク!$AB$5:$AB$300,ROWS($A$7:A8))&gt;=1000000000000,"",INDEX(タスク!A$5:A$300,MATCH(SMALL(タスク!$AB$5:$AB$300,ROWS($A$7:A8)),タスク!$AB$5:$AB$300,0))),"")</f>
        <v>T013</v>
      </c>
      <c r="B8" s="53" t="str">
        <f>IFERROR(IF(SMALL(タスク!$AB$5:$AB$300,ROWS($A$7:A8))&gt;=1000000000000,"",INDEX(タスク!B$5:B$300,MATCH(SMALL(タスク!$AB$5:$AB$300,ROWS($A$7:A8)),タスク!$AB$5:$AB$300,0))),"")</f>
        <v>プロト</v>
      </c>
      <c r="C8" s="53" t="str">
        <f>IFERROR(IF(SMALL(タスク!$AB$5:$AB$300,ROWS($A$7:A8))&gt;=1000000000000,"",INDEX(タスク!C$5:C$300,MATCH(SMALL(タスク!$AB$5:$AB$300,ROWS($A$7:A8)),タスク!$AB$5:$AB$300,0))),"")</f>
        <v>カメラ</v>
      </c>
      <c r="D8" s="53" t="str">
        <f>IFERROR(IF(SMALL(タスク!$AB$5:$AB$300,ROWS($A$7:A8))&gt;=1000000000000,"",INDEX(タスク!D$5:D$300,MATCH(SMALL(タスク!$AB$5:$AB$300,ROWS($A$7:A8)),タスク!$AB$5:$AB$300,0))),"")</f>
        <v>エイムカメラ</v>
      </c>
      <c r="E8" s="53" t="str">
        <f>IFERROR(IF(SMALL(タスク!$AB$5:$AB$300,ROWS($A$7:A8))&gt;=1000000000000,"",INDEX(タスク!E$5:E$300,MATCH(SMALL(タスク!$AB$5:$AB$300,ROWS($A$7:A8)),タスク!$AB$5:$AB$300,0))),"")</f>
        <v>S</v>
      </c>
      <c r="F8" s="53" t="str">
        <f>IFERROR(IF(SMALL(タスク!$AB$5:$AB$300,ROWS($A$7:A8))&gt;=1000000000000,"",INDEX(タスク!F$5:F$300,MATCH(SMALL(タスク!$AB$5:$AB$300,ROWS($A$7:A8)),タスク!$AB$5:$AB$300,0))),"")</f>
        <v>一部実装</v>
      </c>
      <c r="G8" s="53">
        <f>IFERROR(IF(SMALL(タスク!$AB$5:$AB$300,ROWS($A$7:A8))&gt;=1000000000000,"",INDEX(タスク!G$5:G$300,MATCH(SMALL(タスク!$AB$5:$AB$300,ROWS($A$7:A8)),タスク!$AB$5:$AB$300,0))),"")</f>
        <v>7</v>
      </c>
      <c r="H8" s="53">
        <f>IFERROR(IF(SMALL(タスク!$AB$5:$AB$300,ROWS($A$7:A8))&gt;=1000000000000,"",INDEX(タスク!H$5:H$300,MATCH(SMALL(タスク!$AB$5:$AB$300,ROWS($A$7:A8)),タスク!$AB$5:$AB$300,0))),"")</f>
        <v>5</v>
      </c>
      <c r="I8" s="53" t="str">
        <f>IFERROR(IF(SMALL(タスク!$AB$5:$AB$300,ROWS($A$7:A8))&gt;=1000000000000,"",INDEX(タスク!I$5:I$300,MATCH(SMALL(タスク!$AB$5:$AB$300,ROWS($A$7:A8)),タスク!$AB$5:$AB$300,0))),"")</f>
        <v>照準時の視点処理をPlayerと統合確認</v>
      </c>
      <c r="J8" s="53">
        <f>IFERROR(IF(SMALL(タスク!$AB$5:$AB$300,ROWS($A$7:A8))&gt;=1000000000000,"",INDEX(タスク!J$5:J$300,MATCH(SMALL(タスク!$AB$5:$AB$300,ROWS($A$7:A8)),タスク!$AB$5:$AB$300,0))),"")</f>
        <v>0</v>
      </c>
    </row>
    <row r="9" spans="1:10">
      <c r="A9" s="53" t="str">
        <f>IFERROR(IF(SMALL(タスク!$AB$5:$AB$300,ROWS($A$7:A9))&gt;=1000000000000,"",INDEX(タスク!A$5:A$300,MATCH(SMALL(タスク!$AB$5:$AB$300,ROWS($A$7:A9)),タスク!$AB$5:$AB$300,0))),"")</f>
        <v>T038</v>
      </c>
      <c r="B9" s="53" t="str">
        <f>IFERROR(IF(SMALL(タスク!$AB$5:$AB$300,ROWS($A$7:A9))&gt;=1000000000000,"",INDEX(タスク!B$5:B$300,MATCH(SMALL(タスク!$AB$5:$AB$300,ROWS($A$7:A9)),タスク!$AB$5:$AB$300,0))),"")</f>
        <v>プロト</v>
      </c>
      <c r="C9" s="53" t="str">
        <f>IFERROR(IF(SMALL(タスク!$AB$5:$AB$300,ROWS($A$7:A9))&gt;=1000000000000,"",INDEX(タスク!C$5:C$300,MATCH(SMALL(タスク!$AB$5:$AB$300,ROWS($A$7:A9)),タスク!$AB$5:$AB$300,0))),"")</f>
        <v>シーン</v>
      </c>
      <c r="D9" s="53" t="str">
        <f>IFERROR(IF(SMALL(タスク!$AB$5:$AB$300,ROWS($A$7:A9))&gt;=1000000000000,"",INDEX(タスク!D$5:D$300,MATCH(SMALL(タスク!$AB$5:$AB$300,ROWS($A$7:A9)),タスク!$AB$5:$AB$300,0))),"")</f>
        <v>シーンマネージャー</v>
      </c>
      <c r="E9" s="53" t="str">
        <f>IFERROR(IF(SMALL(タスク!$AB$5:$AB$300,ROWS($A$7:A9))&gt;=1000000000000,"",INDEX(タスク!E$5:E$300,MATCH(SMALL(タスク!$AB$5:$AB$300,ROWS($A$7:A9)),タスク!$AB$5:$AB$300,0))),"")</f>
        <v>S</v>
      </c>
      <c r="F9" s="53" t="str">
        <f>IFERROR(IF(SMALL(タスク!$AB$5:$AB$300,ROWS($A$7:A9))&gt;=1000000000000,"",INDEX(タスク!F$5:F$300,MATCH(SMALL(タスク!$AB$5:$AB$300,ROWS($A$7:A9)),タスク!$AB$5:$AB$300,0))),"")</f>
        <v>完了</v>
      </c>
      <c r="G9" s="53">
        <f>IFERROR(IF(SMALL(タスク!$AB$5:$AB$300,ROWS($A$7:A9))&gt;=1000000000000,"",INDEX(タスク!G$5:G$300,MATCH(SMALL(タスク!$AB$5:$AB$300,ROWS($A$7:A9)),タスク!$AB$5:$AB$300,0))),"")</f>
        <v>3</v>
      </c>
      <c r="H9" s="53">
        <f>IFERROR(IF(SMALL(タスク!$AB$5:$AB$300,ROWS($A$7:A9))&gt;=1000000000000,"",INDEX(タスク!H$5:H$300,MATCH(SMALL(タスク!$AB$5:$AB$300,ROWS($A$7:A9)),タスク!$AB$5:$AB$300,0))),"")</f>
        <v>2</v>
      </c>
      <c r="I9" s="53" t="str">
        <f>IFERROR(IF(SMALL(タスク!$AB$5:$AB$300,ROWS($A$7:A9))&gt;=1000000000000,"",INDEX(タスク!I$5:I$300,MATCH(SMALL(タスク!$AB$5:$AB$300,ROWS($A$7:A9)),タスク!$AB$5:$AB$300,0))),"")</f>
        <v>SceneManagerあり</v>
      </c>
      <c r="J9" s="53">
        <f>IFERROR(IF(SMALL(タスク!$AB$5:$AB$300,ROWS($A$7:A9))&gt;=1000000000000,"",INDEX(タスク!J$5:J$300,MATCH(SMALL(タスク!$AB$5:$AB$300,ROWS($A$7:A9)),タスク!$AB$5:$AB$300,0))),"")</f>
        <v>0</v>
      </c>
    </row>
    <row r="10" spans="1:10">
      <c r="A10" s="53" t="str">
        <f>IFERROR(IF(SMALL(タスク!$AB$5:$AB$300,ROWS($A$7:A10))&gt;=1000000000000,"",INDEX(タスク!A$5:A$300,MATCH(SMALL(タスク!$AB$5:$AB$300,ROWS($A$7:A10)),タスク!$AB$5:$AB$300,0))),"")</f>
        <v>T039</v>
      </c>
      <c r="B10" s="53" t="str">
        <f>IFERROR(IF(SMALL(タスク!$AB$5:$AB$300,ROWS($A$7:A10))&gt;=1000000000000,"",INDEX(タスク!B$5:B$300,MATCH(SMALL(タスク!$AB$5:$AB$300,ROWS($A$7:A10)),タスク!$AB$5:$AB$300,0))),"")</f>
        <v>プロト</v>
      </c>
      <c r="C10" s="53" t="str">
        <f>IFERROR(IF(SMALL(タスク!$AB$5:$AB$300,ROWS($A$7:A10))&gt;=1000000000000,"",INDEX(タスク!C$5:C$300,MATCH(SMALL(タスク!$AB$5:$AB$300,ROWS($A$7:A10)),タスク!$AB$5:$AB$300,0))),"")</f>
        <v>シーン</v>
      </c>
      <c r="D10" s="53" t="str">
        <f>IFERROR(IF(SMALL(タスク!$AB$5:$AB$300,ROWS($A$7:A10))&gt;=1000000000000,"",INDEX(タスク!D$5:D$300,MATCH(SMALL(タスク!$AB$5:$AB$300,ROWS($A$7:A10)),タスク!$AB$5:$AB$300,0))),"")</f>
        <v>ゲームシーン</v>
      </c>
      <c r="E10" s="53" t="str">
        <f>IFERROR(IF(SMALL(タスク!$AB$5:$AB$300,ROWS($A$7:A10))&gt;=1000000000000,"",INDEX(タスク!E$5:E$300,MATCH(SMALL(タスク!$AB$5:$AB$300,ROWS($A$7:A10)),タスク!$AB$5:$AB$300,0))),"")</f>
        <v>S</v>
      </c>
      <c r="F10" s="53" t="str">
        <f>IFERROR(IF(SMALL(タスク!$AB$5:$AB$300,ROWS($A$7:A10))&gt;=1000000000000,"",INDEX(タスク!F$5:F$300,MATCH(SMALL(タスク!$AB$5:$AB$300,ROWS($A$7:A10)),タスク!$AB$5:$AB$300,0))),"")</f>
        <v>一部実装</v>
      </c>
      <c r="G10" s="53">
        <f>IFERROR(IF(SMALL(タスク!$AB$5:$AB$300,ROWS($A$7:A10))&gt;=1000000000000,"",INDEX(タスク!G$5:G$300,MATCH(SMALL(タスク!$AB$5:$AB$300,ROWS($A$7:A10)),タスク!$AB$5:$AB$300,0))),"")</f>
        <v>5</v>
      </c>
      <c r="H10" s="53">
        <f>IFERROR(IF(SMALL(タスク!$AB$5:$AB$300,ROWS($A$7:A10))&gt;=1000000000000,"",INDEX(タスク!H$5:H$300,MATCH(SMALL(タスク!$AB$5:$AB$300,ROWS($A$7:A10)),タスク!$AB$5:$AB$300,0))),"")</f>
        <v>0</v>
      </c>
      <c r="I10" s="53" t="str">
        <f>IFERROR(IF(SMALL(タスク!$AB$5:$AB$300,ROWS($A$7:A10))&gt;=1000000000000,"",INDEX(タスク!I$5:I$300,MATCH(SMALL(タスク!$AB$5:$AB$300,ROWS($A$7:A10)),タスク!$AB$5:$AB$300,0))),"")</f>
        <v>SceneMainあり。ゲームループとプレイ条件を確認</v>
      </c>
      <c r="J10" s="53">
        <f>IFERROR(IF(SMALL(タスク!$AB$5:$AB$300,ROWS($A$7:A10))&gt;=1000000000000,"",INDEX(タスク!J$5:J$300,MATCH(SMALL(タスク!$AB$5:$AB$300,ROWS($A$7:A10)),タスク!$AB$5:$AB$300,0))),"")</f>
        <v>0</v>
      </c>
    </row>
    <row r="11" spans="1:10">
      <c r="A11" s="53" t="str">
        <f>IFERROR(IF(SMALL(タスク!$AB$5:$AB$300,ROWS($A$7:A11))&gt;=1000000000000,"",INDEX(タスク!A$5:A$300,MATCH(SMALL(タスク!$AB$5:$AB$300,ROWS($A$7:A11)),タスク!$AB$5:$AB$300,0))),"")</f>
        <v>T028</v>
      </c>
      <c r="B11" s="53" t="str">
        <f>IFERROR(IF(SMALL(タスク!$AB$5:$AB$300,ROWS($A$7:A11))&gt;=1000000000000,"",INDEX(タスク!B$5:B$300,MATCH(SMALL(タスク!$AB$5:$AB$300,ROWS($A$7:A11)),タスク!$AB$5:$AB$300,0))),"")</f>
        <v>プロト</v>
      </c>
      <c r="C11" s="53" t="str">
        <f>IFERROR(IF(SMALL(タスク!$AB$5:$AB$300,ROWS($A$7:A11))&gt;=1000000000000,"",INDEX(タスク!C$5:C$300,MATCH(SMALL(タスク!$AB$5:$AB$300,ROWS($A$7:A11)),タスク!$AB$5:$AB$300,0))),"")</f>
        <v>システム</v>
      </c>
      <c r="D11" s="53" t="str">
        <f>IFERROR(IF(SMALL(タスク!$AB$5:$AB$300,ROWS($A$7:A11))&gt;=1000000000000,"",INDEX(タスク!D$5:D$300,MATCH(SMALL(タスク!$AB$5:$AB$300,ROWS($A$7:A11)),タスク!$AB$5:$AB$300,0))),"")</f>
        <v>アニメーション基盤・ブレンド</v>
      </c>
      <c r="E11" s="53" t="str">
        <f>IFERROR(IF(SMALL(タスク!$AB$5:$AB$300,ROWS($A$7:A11))&gt;=1000000000000,"",INDEX(タスク!E$5:E$300,MATCH(SMALL(タスク!$AB$5:$AB$300,ROWS($A$7:A11)),タスク!$AB$5:$AB$300,0))),"")</f>
        <v>S</v>
      </c>
      <c r="F11" s="53" t="str">
        <f>IFERROR(IF(SMALL(タスク!$AB$5:$AB$300,ROWS($A$7:A11))&gt;=1000000000000,"",INDEX(タスク!F$5:F$300,MATCH(SMALL(タスク!$AB$5:$AB$300,ROWS($A$7:A11)),タスク!$AB$5:$AB$300,0))),"")</f>
        <v>コードあり・要確認</v>
      </c>
      <c r="G11" s="53">
        <f>IFERROR(IF(SMALL(タスク!$AB$5:$AB$300,ROWS($A$7:A11))&gt;=1000000000000,"",INDEX(タスク!G$5:G$300,MATCH(SMALL(タスク!$AB$5:$AB$300,ROWS($A$7:A11)),タスク!$AB$5:$AB$300,0))),"")</f>
        <v>5</v>
      </c>
      <c r="H11" s="53">
        <f>IFERROR(IF(SMALL(タスク!$AB$5:$AB$300,ROWS($A$7:A11))&gt;=1000000000000,"",INDEX(タスク!H$5:H$300,MATCH(SMALL(タスク!$AB$5:$AB$300,ROWS($A$7:A11)),タスク!$AB$5:$AB$300,0))),"")</f>
        <v>15</v>
      </c>
      <c r="I11" s="53" t="str">
        <f>IFERROR(IF(SMALL(タスク!$AB$5:$AB$300,ROWS($A$7:A11))&gt;=1000000000000,"",INDEX(タスク!I$5:I$300,MATCH(SMALL(タスク!$AB$5:$AB$300,ROWS($A$7:A11)),タスク!$AB$5:$AB$300,0))),"")</f>
        <v>Animator/AnimationLayerあり。遷移と見た目を確認</v>
      </c>
      <c r="J11" s="53">
        <f>IFERROR(IF(SMALL(タスク!$AB$5:$AB$300,ROWS($A$7:A11))&gt;=1000000000000,"",INDEX(タスク!J$5:J$300,MATCH(SMALL(タスク!$AB$5:$AB$300,ROWS($A$7:A11)),タスク!$AB$5:$AB$300,0))),"")</f>
        <v>0</v>
      </c>
    </row>
    <row r="12" spans="1:10">
      <c r="A12" s="53" t="str">
        <f>IFERROR(IF(SMALL(タスク!$AB$5:$AB$300,ROWS($A$7:A12))&gt;=1000000000000,"",INDEX(タスク!A$5:A$300,MATCH(SMALL(タスク!$AB$5:$AB$300,ROWS($A$7:A12)),タスク!$AB$5:$AB$300,0))),"")</f>
        <v>T029</v>
      </c>
      <c r="B12" s="53" t="str">
        <f>IFERROR(IF(SMALL(タスク!$AB$5:$AB$300,ROWS($A$7:A12))&gt;=1000000000000,"",INDEX(タスク!B$5:B$300,MATCH(SMALL(タスク!$AB$5:$AB$300,ROWS($A$7:A12)),タスク!$AB$5:$AB$300,0))),"")</f>
        <v>プロト</v>
      </c>
      <c r="C12" s="53" t="str">
        <f>IFERROR(IF(SMALL(タスク!$AB$5:$AB$300,ROWS($A$7:A12))&gt;=1000000000000,"",INDEX(タスク!C$5:C$300,MATCH(SMALL(タスク!$AB$5:$AB$300,ROWS($A$7:A12)),タスク!$AB$5:$AB$300,0))),"")</f>
        <v>システム</v>
      </c>
      <c r="D12" s="53" t="str">
        <f>IFERROR(IF(SMALL(タスク!$AB$5:$AB$300,ROWS($A$7:A12))&gt;=1000000000000,"",INDEX(タスク!D$5:D$300,MATCH(SMALL(タスク!$AB$5:$AB$300,ROWS($A$7:A12)),タスク!$AB$5:$AB$300,0))),"")</f>
        <v>クラス設計・基盤整理</v>
      </c>
      <c r="E12" s="53" t="str">
        <f>IFERROR(IF(SMALL(タスク!$AB$5:$AB$300,ROWS($A$7:A12))&gt;=1000000000000,"",INDEX(タスク!E$5:E$300,MATCH(SMALL(タスク!$AB$5:$AB$300,ROWS($A$7:A12)),タスク!$AB$5:$AB$300,0))),"")</f>
        <v>S</v>
      </c>
      <c r="F12" s="53" t="str">
        <f>IFERROR(IF(SMALL(タスク!$AB$5:$AB$300,ROWS($A$7:A12))&gt;=1000000000000,"",INDEX(タスク!F$5:F$300,MATCH(SMALL(タスク!$AB$5:$AB$300,ROWS($A$7:A12)),タスク!$AB$5:$AB$300,0))),"")</f>
        <v>一部実装</v>
      </c>
      <c r="G12" s="53">
        <f>IFERROR(IF(SMALL(タスク!$AB$5:$AB$300,ROWS($A$7:A12))&gt;=1000000000000,"",INDEX(タスク!G$5:G$300,MATCH(SMALL(タスク!$AB$5:$AB$300,ROWS($A$7:A12)),タスク!$AB$5:$AB$300,0))),"")</f>
        <v>15</v>
      </c>
      <c r="H12" s="53">
        <f>IFERROR(IF(SMALL(タスク!$AB$5:$AB$300,ROWS($A$7:A12))&gt;=1000000000000,"",INDEX(タスク!H$5:H$300,MATCH(SMALL(タスク!$AB$5:$AB$300,ROWS($A$7:A12)),タスク!$AB$5:$AB$300,0))),"")</f>
        <v>10</v>
      </c>
      <c r="I12" s="53" t="str">
        <f>IFERROR(IF(SMALL(タスク!$AB$5:$AB$300,ROWS($A$7:A12))&gt;=1000000000000,"",INDEX(タスク!I$5:I$300,MATCH(SMALL(タスク!$AB$5:$AB$300,ROWS($A$7:A12)),タスク!$AB$5:$AB$300,0))),"")</f>
        <v>GameObject/Component/StateMachine等の基盤あり。責務整理</v>
      </c>
      <c r="J12" s="53">
        <f>IFERROR(IF(SMALL(タスク!$AB$5:$AB$300,ROWS($A$7:A12))&gt;=1000000000000,"",INDEX(タスク!J$5:J$300,MATCH(SMALL(タスク!$AB$5:$AB$300,ROWS($A$7:A12)),タスク!$AB$5:$AB$300,0))),"")</f>
        <v>0</v>
      </c>
    </row>
    <row r="13" spans="1:10">
      <c r="A13" s="53" t="str">
        <f>IFERROR(IF(SMALL(タスク!$AB$5:$AB$300,ROWS($A$7:A13))&gt;=1000000000000,"",INDEX(タスク!A$5:A$300,MATCH(SMALL(タスク!$AB$5:$AB$300,ROWS($A$7:A13)),タスク!$AB$5:$AB$300,0))),"")</f>
        <v>T025</v>
      </c>
      <c r="B13" s="53" t="str">
        <f>IFERROR(IF(SMALL(タスク!$AB$5:$AB$300,ROWS($A$7:A13))&gt;=1000000000000,"",INDEX(タスク!B$5:B$300,MATCH(SMALL(タスク!$AB$5:$AB$300,ROWS($A$7:A13)),タスク!$AB$5:$AB$300,0))),"")</f>
        <v>プロト</v>
      </c>
      <c r="C13" s="53" t="str">
        <f>IFERROR(IF(SMALL(タスク!$AB$5:$AB$300,ROWS($A$7:A13))&gt;=1000000000000,"",INDEX(タスク!C$5:C$300,MATCH(SMALL(タスク!$AB$5:$AB$300,ROWS($A$7:A13)),タスク!$AB$5:$AB$300,0))),"")</f>
        <v>ステージ</v>
      </c>
      <c r="D13" s="53" t="str">
        <f>IFERROR(IF(SMALL(タスク!$AB$5:$AB$300,ROWS($A$7:A13))&gt;=1000000000000,"",INDEX(タスク!D$5:D$300,MATCH(SMALL(タスク!$AB$5:$AB$300,ROWS($A$7:A13)),タスク!$AB$5:$AB$300,0))),"")</f>
        <v>ステージ1（仮レイアウト）</v>
      </c>
      <c r="E13" s="53" t="str">
        <f>IFERROR(IF(SMALL(タスク!$AB$5:$AB$300,ROWS($A$7:A13))&gt;=1000000000000,"",INDEX(タスク!E$5:E$300,MATCH(SMALL(タスク!$AB$5:$AB$300,ROWS($A$7:A13)),タスク!$AB$5:$AB$300,0))),"")</f>
        <v>S</v>
      </c>
      <c r="F13" s="53" t="str">
        <f>IFERROR(IF(SMALL(タスク!$AB$5:$AB$300,ROWS($A$7:A13))&gt;=1000000000000,"",INDEX(タスク!F$5:F$300,MATCH(SMALL(タスク!$AB$5:$AB$300,ROWS($A$7:A13)),タスク!$AB$5:$AB$300,0))),"")</f>
        <v>一部実装</v>
      </c>
      <c r="G13" s="53">
        <f>IFERROR(IF(SMALL(タスク!$AB$5:$AB$300,ROWS($A$7:A13))&gt;=1000000000000,"",INDEX(タスク!G$5:G$300,MATCH(SMALL(タスク!$AB$5:$AB$300,ROWS($A$7:A13)),タスク!$AB$5:$AB$300,0))),"")</f>
        <v>10</v>
      </c>
      <c r="H13" s="53">
        <f>IFERROR(IF(SMALL(タスク!$AB$5:$AB$300,ROWS($A$7:A13))&gt;=1000000000000,"",INDEX(タスク!H$5:H$300,MATCH(SMALL(タスク!$AB$5:$AB$300,ROWS($A$7:A13)),タスク!$AB$5:$AB$300,0))),"")</f>
        <v>0</v>
      </c>
      <c r="I13" s="53" t="str">
        <f>IFERROR(IF(SMALL(タスク!$AB$5:$AB$300,ROWS($A$7:A13))&gt;=1000000000000,"",INDEX(タスク!I$5:I$300,MATCH(SMALL(タスク!$AB$5:$AB$300,ROWS($A$7:A13)),タスク!$AB$5:$AB$300,0))),"")</f>
        <v>StaticStageあり。プレイ可能区画・導線・配置が必要</v>
      </c>
      <c r="J13" s="53">
        <f>IFERROR(IF(SMALL(タスク!$AB$5:$AB$300,ROWS($A$7:A13))&gt;=1000000000000,"",INDEX(タスク!J$5:J$300,MATCH(SMALL(タスク!$AB$5:$AB$300,ROWS($A$7:A13)),タスク!$AB$5:$AB$300,0))),"")</f>
        <v>0</v>
      </c>
    </row>
    <row r="14" spans="1:10">
      <c r="A14" s="53" t="str">
        <f>IFERROR(IF(SMALL(タスク!$AB$5:$AB$300,ROWS($A$7:A14))&gt;=1000000000000,"",INDEX(タスク!A$5:A$300,MATCH(SMALL(タスク!$AB$5:$AB$300,ROWS($A$7:A14)),タスク!$AB$5:$AB$300,0))),"")</f>
        <v>T052</v>
      </c>
      <c r="B14" s="53" t="str">
        <f>IFERROR(IF(SMALL(タスク!$AB$5:$AB$300,ROWS($A$7:A14))&gt;=1000000000000,"",INDEX(タスク!B$5:B$300,MATCH(SMALL(タスク!$AB$5:$AB$300,ROWS($A$7:A14)),タスク!$AB$5:$AB$300,0))),"")</f>
        <v>プロト</v>
      </c>
      <c r="C14" s="53" t="str">
        <f>IFERROR(IF(SMALL(タスク!$AB$5:$AB$300,ROWS($A$7:A14))&gt;=1000000000000,"",INDEX(タスク!C$5:C$300,MATCH(SMALL(タスク!$AB$5:$AB$300,ROWS($A$7:A14)),タスク!$AB$5:$AB$300,0))),"")</f>
        <v>ステージ</v>
      </c>
      <c r="D14" s="53" t="str">
        <f>IFERROR(IF(SMALL(タスク!$AB$5:$AB$300,ROWS($A$7:A14))&gt;=1000000000000,"",INDEX(タスク!D$5:D$300,MATCH(SMALL(タスク!$AB$5:$AB$300,ROWS($A$7:A14)),タスク!$AB$5:$AB$300,0))),"")</f>
        <v>ステージ1の衝突ブロックアウト・進行確認</v>
      </c>
      <c r="E14" s="53" t="str">
        <f>IFERROR(IF(SMALL(タスク!$AB$5:$AB$300,ROWS($A$7:A14))&gt;=1000000000000,"",INDEX(タスク!E$5:E$300,MATCH(SMALL(タスク!$AB$5:$AB$300,ROWS($A$7:A14)),タスク!$AB$5:$AB$300,0))),"")</f>
        <v>S</v>
      </c>
      <c r="F14" s="53" t="str">
        <f>IFERROR(IF(SMALL(タスク!$AB$5:$AB$300,ROWS($A$7:A14))&gt;=1000000000000,"",INDEX(タスク!F$5:F$300,MATCH(SMALL(タスク!$AB$5:$AB$300,ROWS($A$7:A14)),タスク!$AB$5:$AB$300,0))),"")</f>
        <v>計画追加</v>
      </c>
      <c r="G14" s="53">
        <f>IFERROR(IF(SMALL(タスク!$AB$5:$AB$300,ROWS($A$7:A14))&gt;=1000000000000,"",INDEX(タスク!G$5:G$300,MATCH(SMALL(タスク!$AB$5:$AB$300,ROWS($A$7:A14)),タスク!$AB$5:$AB$300,0))),"")</f>
        <v>8</v>
      </c>
      <c r="H14" s="53">
        <f>IFERROR(IF(SMALL(タスク!$AB$5:$AB$300,ROWS($A$7:A14))&gt;=1000000000000,"",INDEX(タスク!H$5:H$300,MATCH(SMALL(タスク!$AB$5:$AB$300,ROWS($A$7:A14)),タスク!$AB$5:$AB$300,0))),"")</f>
        <v>0</v>
      </c>
      <c r="I14" s="53" t="str">
        <f>IFERROR(IF(SMALL(タスク!$AB$5:$AB$300,ROWS($A$7:A14))&gt;=1000000000000,"",INDEX(タスク!I$5:I$300,MATCH(SMALL(タスク!$AB$5:$AB$300,ROWS($A$7:A14)),タスク!$AB$5:$AB$300,0))),"")</f>
        <v>StaticStageに移動・射撃・ハッキング可能な導線を追加</v>
      </c>
      <c r="J14" s="53">
        <f>IFERROR(IF(SMALL(タスク!$AB$5:$AB$300,ROWS($A$7:A14))&gt;=1000000000000,"",INDEX(タスク!J$5:J$300,MATCH(SMALL(タスク!$AB$5:$AB$300,ROWS($A$7:A14)),タスク!$AB$5:$AB$300,0))),"")</f>
        <v>0</v>
      </c>
    </row>
    <row r="15" spans="1:10">
      <c r="A15" s="53" t="str">
        <f>IFERROR(IF(SMALL(タスク!$AB$5:$AB$300,ROWS($A$7:A15))&gt;=1000000000000,"",INDEX(タスク!A$5:A$300,MATCH(SMALL(タスク!$AB$5:$AB$300,ROWS($A$7:A15)),タスク!$AB$5:$AB$300,0))),"")</f>
        <v>T014</v>
      </c>
      <c r="B15" s="53" t="str">
        <f>IFERROR(IF(SMALL(タスク!$AB$5:$AB$300,ROWS($A$7:A15))&gt;=1000000000000,"",INDEX(タスク!B$5:B$300,MATCH(SMALL(タスク!$AB$5:$AB$300,ROWS($A$7:A15)),タスク!$AB$5:$AB$300,0))),"")</f>
        <v>プロト</v>
      </c>
      <c r="C15" s="53" t="str">
        <f>IFERROR(IF(SMALL(タスク!$AB$5:$AB$300,ROWS($A$7:A15))&gt;=1000000000000,"",INDEX(タスク!C$5:C$300,MATCH(SMALL(タスク!$AB$5:$AB$300,ROWS($A$7:A15)),タスク!$AB$5:$AB$300,0))),"")</f>
        <v>ハッキング</v>
      </c>
      <c r="D15" s="53" t="str">
        <f>IFERROR(IF(SMALL(タスク!$AB$5:$AB$300,ROWS($A$7:A15))&gt;=1000000000000,"",INDEX(タスク!D$5:D$300,MATCH(SMALL(タスク!$AB$5:$AB$300,ROWS($A$7:A15)),タスク!$AB$5:$AB$300,0))),"")</f>
        <v>盤面生成とデータ調整</v>
      </c>
      <c r="E15" s="53" t="str">
        <f>IFERROR(IF(SMALL(タスク!$AB$5:$AB$300,ROWS($A$7:A15))&gt;=1000000000000,"",INDEX(タスク!E$5:E$300,MATCH(SMALL(タスク!$AB$5:$AB$300,ROWS($A$7:A15)),タスク!$AB$5:$AB$300,0))),"")</f>
        <v>S</v>
      </c>
      <c r="F15" s="53" t="str">
        <f>IFERROR(IF(SMALL(タスク!$AB$5:$AB$300,ROWS($A$7:A15))&gt;=1000000000000,"",INDEX(タスク!F$5:F$300,MATCH(SMALL(タスク!$AB$5:$AB$300,ROWS($A$7:A15)),タスク!$AB$5:$AB$300,0))),"")</f>
        <v>一部実装</v>
      </c>
      <c r="G15" s="53">
        <f>IFERROR(IF(SMALL(タスク!$AB$5:$AB$300,ROWS($A$7:A15))&gt;=1000000000000,"",INDEX(タスク!G$5:G$300,MATCH(SMALL(タスク!$AB$5:$AB$300,ROWS($A$7:A15)),タスク!$AB$5:$AB$300,0))),"")</f>
        <v>7</v>
      </c>
      <c r="H15" s="53">
        <f>IFERROR(IF(SMALL(タスク!$AB$5:$AB$300,ROWS($A$7:A15))&gt;=1000000000000,"",INDEX(タスク!H$5:H$300,MATCH(SMALL(タスク!$AB$5:$AB$300,ROWS($A$7:A15)),タスク!$AB$5:$AB$300,0))),"")</f>
        <v>0</v>
      </c>
      <c r="I15" s="53" t="str">
        <f>IFERROR(IF(SMALL(タスク!$AB$5:$AB$300,ROWS($A$7:A15))&gt;=1000000000000,"",INDEX(タスク!I$5:I$300,MATCH(SMALL(タスク!$AB$5:$AB$300,ROWS($A$7:A15)),タスク!$AB$5:$AB$300,0))),"")</f>
        <v>HackingManager/Hackableあり。盤面の外部データ化・調整性が残る</v>
      </c>
      <c r="J15" s="53">
        <f>IFERROR(IF(SMALL(タスク!$AB$5:$AB$300,ROWS($A$7:A15))&gt;=1000000000000,"",INDEX(タスク!J$5:J$300,MATCH(SMALL(タスク!$AB$5:$AB$300,ROWS($A$7:A15)),タスク!$AB$5:$AB$300,0))),"")</f>
        <v>0</v>
      </c>
    </row>
    <row r="16" spans="1:10">
      <c r="A16" s="53" t="str">
        <f>IFERROR(IF(SMALL(タスク!$AB$5:$AB$300,ROWS($A$7:A16))&gt;=1000000000000,"",INDEX(タスク!A$5:A$300,MATCH(SMALL(タスク!$AB$5:$AB$300,ROWS($A$7:A16)),タスク!$AB$5:$AB$300,0))),"")</f>
        <v>T015</v>
      </c>
      <c r="B16" s="53" t="str">
        <f>IFERROR(IF(SMALL(タスク!$AB$5:$AB$300,ROWS($A$7:A16))&gt;=1000000000000,"",INDEX(タスク!B$5:B$300,MATCH(SMALL(タスク!$AB$5:$AB$300,ROWS($A$7:A16)),タスク!$AB$5:$AB$300,0))),"")</f>
        <v>プロト</v>
      </c>
      <c r="C16" s="53" t="str">
        <f>IFERROR(IF(SMALL(タスク!$AB$5:$AB$300,ROWS($A$7:A16))&gt;=1000000000000,"",INDEX(タスク!C$5:C$300,MATCH(SMALL(タスク!$AB$5:$AB$300,ROWS($A$7:A16)),タスク!$AB$5:$AB$300,0))),"")</f>
        <v>ハッキング</v>
      </c>
      <c r="D16" s="53" t="str">
        <f>IFERROR(IF(SMALL(タスク!$AB$5:$AB$300,ROWS($A$7:A16))&gt;=1000000000000,"",INDEX(タスク!D$5:D$300,MATCH(SMALL(タスク!$AB$5:$AB$300,ROWS($A$7:A16)),タスク!$AB$5:$AB$300,0))),"")</f>
        <v>盤面移動と経路制約</v>
      </c>
      <c r="E16" s="53" t="str">
        <f>IFERROR(IF(SMALL(タスク!$AB$5:$AB$300,ROWS($A$7:A16))&gt;=1000000000000,"",INDEX(タスク!E$5:E$300,MATCH(SMALL(タスク!$AB$5:$AB$300,ROWS($A$7:A16)),タスク!$AB$5:$AB$300,0))),"")</f>
        <v>S</v>
      </c>
      <c r="F16" s="53" t="str">
        <f>IFERROR(IF(SMALL(タスク!$AB$5:$AB$300,ROWS($A$7:A16))&gt;=1000000000000,"",INDEX(タスク!F$5:F$300,MATCH(SMALL(タスク!$AB$5:$AB$300,ROWS($A$7:A16)),タスク!$AB$5:$AB$300,0))),"")</f>
        <v>コードあり・要確認</v>
      </c>
      <c r="G16" s="53">
        <f>IFERROR(IF(SMALL(タスク!$AB$5:$AB$300,ROWS($A$7:A16))&gt;=1000000000000,"",INDEX(タスク!G$5:G$300,MATCH(SMALL(タスク!$AB$5:$AB$300,ROWS($A$7:A16)),タスク!$AB$5:$AB$300,0))),"")</f>
        <v>5</v>
      </c>
      <c r="H16" s="53">
        <f>IFERROR(IF(SMALL(タスク!$AB$5:$AB$300,ROWS($A$7:A16))&gt;=1000000000000,"",INDEX(タスク!H$5:H$300,MATCH(SMALL(タスク!$AB$5:$AB$300,ROWS($A$7:A16)),タスク!$AB$5:$AB$300,0))),"")</f>
        <v>0</v>
      </c>
      <c r="I16" s="53" t="str">
        <f>IFERROR(IF(SMALL(タスク!$AB$5:$AB$300,ROWS($A$7:A16))&gt;=1000000000000,"",INDEX(タスク!I$5:I$300,MATCH(SMALL(タスク!$AB$5:$AB$300,ROWS($A$7:A16)),タスク!$AB$5:$AB$300,0))),"")</f>
        <v>Hackableの移動処理あり。全マス条件を検証</v>
      </c>
      <c r="J16" s="53">
        <f>IFERROR(IF(SMALL(タスク!$AB$5:$AB$300,ROWS($A$7:A16))&gt;=1000000000000,"",INDEX(タスク!J$5:J$300,MATCH(SMALL(タスク!$AB$5:$AB$300,ROWS($A$7:A16)),タスク!$AB$5:$AB$300,0))),"")</f>
        <v>0</v>
      </c>
    </row>
    <row r="17" spans="1:10">
      <c r="A17" s="53" t="str">
        <f>IFERROR(IF(SMALL(タスク!$AB$5:$AB$300,ROWS($A$7:A17))&gt;=1000000000000,"",INDEX(タスク!A$5:A$300,MATCH(SMALL(タスク!$AB$5:$AB$300,ROWS($A$7:A17)),タスク!$AB$5:$AB$300,0))),"")</f>
        <v>T016</v>
      </c>
      <c r="B17" s="53" t="str">
        <f>IFERROR(IF(SMALL(タスク!$AB$5:$AB$300,ROWS($A$7:A17))&gt;=1000000000000,"",INDEX(タスク!B$5:B$300,MATCH(SMALL(タスク!$AB$5:$AB$300,ROWS($A$7:A17)),タスク!$AB$5:$AB$300,0))),"")</f>
        <v>プロト</v>
      </c>
      <c r="C17" s="53" t="str">
        <f>IFERROR(IF(SMALL(タスク!$AB$5:$AB$300,ROWS($A$7:A17))&gt;=1000000000000,"",INDEX(タスク!C$5:C$300,MATCH(SMALL(タスク!$AB$5:$AB$300,ROWS($A$7:A17)),タスク!$AB$5:$AB$300,0))),"")</f>
        <v>ハッキング</v>
      </c>
      <c r="D17" s="53" t="str">
        <f>IFERROR(IF(SMALL(タスク!$AB$5:$AB$300,ROWS($A$7:A17))&gt;=1000000000000,"",INDEX(タスク!D$5:D$300,MATCH(SMALL(タスク!$AB$5:$AB$300,ROWS($A$7:A17)),タスク!$AB$5:$AB$300,0))),"")</f>
        <v>成功・失敗の発動</v>
      </c>
      <c r="E17" s="53" t="str">
        <f>IFERROR(IF(SMALL(タスク!$AB$5:$AB$300,ROWS($A$7:A17))&gt;=1000000000000,"",INDEX(タスク!E$5:E$300,MATCH(SMALL(タスク!$AB$5:$AB$300,ROWS($A$7:A17)),タスク!$AB$5:$AB$300,0))),"")</f>
        <v>S</v>
      </c>
      <c r="F17" s="53" t="str">
        <f>IFERROR(IF(SMALL(タスク!$AB$5:$AB$300,ROWS($A$7:A17))&gt;=1000000000000,"",INDEX(タスク!F$5:F$300,MATCH(SMALL(タスク!$AB$5:$AB$300,ROWS($A$7:A17)),タスク!$AB$5:$AB$300,0))),"")</f>
        <v>一部実装</v>
      </c>
      <c r="G17" s="53">
        <f>IFERROR(IF(SMALL(タスク!$AB$5:$AB$300,ROWS($A$7:A17))&gt;=1000000000000,"",INDEX(タスク!G$5:G$300,MATCH(SMALL(タスク!$AB$5:$AB$300,ROWS($A$7:A17)),タスク!$AB$5:$AB$300,0))),"")</f>
        <v>7</v>
      </c>
      <c r="H17" s="53">
        <f>IFERROR(IF(SMALL(タスク!$AB$5:$AB$300,ROWS($A$7:A17))&gt;=1000000000000,"",INDEX(タスク!H$5:H$300,MATCH(SMALL(タスク!$AB$5:$AB$300,ROWS($A$7:A17)),タスク!$AB$5:$AB$300,0))),"")</f>
        <v>0</v>
      </c>
      <c r="I17" s="53" t="str">
        <f>IFERROR(IF(SMALL(タスク!$AB$5:$AB$300,ROWS($A$7:A17))&gt;=1000000000000,"",INDEX(タスク!I$5:I$300,MATCH(SMALL(タスク!$AB$5:$AB$300,ROWS($A$7:A17)),タスク!$AB$5:$AB$300,0))),"")</f>
        <v>HackingManager/Hackableあり。敵状態・リセット連携を要確認</v>
      </c>
      <c r="J17" s="53">
        <f>IFERROR(IF(SMALL(タスク!$AB$5:$AB$300,ROWS($A$7:A17))&gt;=1000000000000,"",INDEX(タスク!J$5:J$300,MATCH(SMALL(タスク!$AB$5:$AB$300,ROWS($A$7:A17)),タスク!$AB$5:$AB$300,0))),"")</f>
        <v>0</v>
      </c>
    </row>
    <row r="18" spans="1:10">
      <c r="A18" s="53" t="str">
        <f>IFERROR(IF(SMALL(タスク!$AB$5:$AB$300,ROWS($A$7:A18))&gt;=1000000000000,"",INDEX(タスク!A$5:A$300,MATCH(SMALL(タスク!$AB$5:$AB$300,ROWS($A$7:A18)),タスク!$AB$5:$AB$300,0))),"")</f>
        <v>T017</v>
      </c>
      <c r="B18" s="53" t="str">
        <f>IFERROR(IF(SMALL(タスク!$AB$5:$AB$300,ROWS($A$7:A18))&gt;=1000000000000,"",INDEX(タスク!B$5:B$300,MATCH(SMALL(タスク!$AB$5:$AB$300,ROWS($A$7:A18)),タスク!$AB$5:$AB$300,0))),"")</f>
        <v>プロト</v>
      </c>
      <c r="C18" s="53" t="str">
        <f>IFERROR(IF(SMALL(タスク!$AB$5:$AB$300,ROWS($A$7:A18))&gt;=1000000000000,"",INDEX(タスク!C$5:C$300,MATCH(SMALL(タスク!$AB$5:$AB$300,ROWS($A$7:A18)),タスク!$AB$5:$AB$300,0))),"")</f>
        <v>ハッキング</v>
      </c>
      <c r="D18" s="53" t="str">
        <f>IFERROR(IF(SMALL(タスク!$AB$5:$AB$300,ROWS($A$7:A18))&gt;=1000000000000,"",INDEX(タスク!D$5:D$300,MATCH(SMALL(タスク!$AB$5:$AB$300,ROWS($A$7:A18)),タスク!$AB$5:$AB$300,0))),"")</f>
        <v>ハッキング特殊効果</v>
      </c>
      <c r="E18" s="53" t="str">
        <f>IFERROR(IF(SMALL(タスク!$AB$5:$AB$300,ROWS($A$7:A18))&gt;=1000000000000,"",INDEX(タスク!E$5:E$300,MATCH(SMALL(タスク!$AB$5:$AB$300,ROWS($A$7:A18)),タスク!$AB$5:$AB$300,0))),"")</f>
        <v>S</v>
      </c>
      <c r="F18" s="53" t="str">
        <f>IFERROR(IF(SMALL(タスク!$AB$5:$AB$300,ROWS($A$7:A18))&gt;=1000000000000,"",INDEX(タスク!F$5:F$300,MATCH(SMALL(タスク!$AB$5:$AB$300,ROWS($A$7:A18)),タスク!$AB$5:$AB$300,0))),"")</f>
        <v>一部実装</v>
      </c>
      <c r="G18" s="53">
        <f>IFERROR(IF(SMALL(タスク!$AB$5:$AB$300,ROWS($A$7:A18))&gt;=1000000000000,"",INDEX(タスク!G$5:G$300,MATCH(SMALL(タスク!$AB$5:$AB$300,ROWS($A$7:A18)),タスク!$AB$5:$AB$300,0))),"")</f>
        <v>8</v>
      </c>
      <c r="H18" s="53">
        <f>IFERROR(IF(SMALL(タスク!$AB$5:$AB$300,ROWS($A$7:A18))&gt;=1000000000000,"",INDEX(タスク!H$5:H$300,MATCH(SMALL(タスク!$AB$5:$AB$300,ROWS($A$7:A18)),タスク!$AB$5:$AB$300,0))),"")</f>
        <v>0</v>
      </c>
      <c r="I18" s="53" t="str">
        <f>IFERROR(IF(SMALL(タスク!$AB$5:$AB$300,ROWS($A$7:A18))&gt;=1000000000000,"",INDEX(タスク!I$5:I$300,MATCH(SMALL(タスク!$AB$5:$AB$300,ROWS($A$7:A18)),タスク!$AB$5:$AB$300,0))),"")</f>
        <v>黄色マス等。銃強化・伝播・停止などを追加</v>
      </c>
      <c r="J18" s="53">
        <f>IFERROR(IF(SMALL(タスク!$AB$5:$AB$300,ROWS($A$7:A18))&gt;=1000000000000,"",INDEX(タスク!J$5:J$300,MATCH(SMALL(タスク!$AB$5:$AB$300,ROWS($A$7:A18)),タスク!$AB$5:$AB$300,0))),"")</f>
        <v>0</v>
      </c>
    </row>
    <row r="19" spans="1:10">
      <c r="A19" s="53" t="str">
        <f>IFERROR(IF(SMALL(タスク!$AB$5:$AB$300,ROWS($A$7:A19))&gt;=1000000000000,"",INDEX(タスク!A$5:A$300,MATCH(SMALL(タスク!$AB$5:$AB$300,ROWS($A$7:A19)),タスク!$AB$5:$AB$300,0))),"")</f>
        <v>T005</v>
      </c>
      <c r="B19" s="53" t="str">
        <f>IFERROR(IF(SMALL(タスク!$AB$5:$AB$300,ROWS($A$7:A19))&gt;=1000000000000,"",INDEX(タスク!B$5:B$300,MATCH(SMALL(タスク!$AB$5:$AB$300,ROWS($A$7:A19)),タスク!$AB$5:$AB$300,0))),"")</f>
        <v>プロト</v>
      </c>
      <c r="C19" s="53" t="str">
        <f>IFERROR(IF(SMALL(タスク!$AB$5:$AB$300,ROWS($A$7:A19))&gt;=1000000000000,"",INDEX(タスク!C$5:C$300,MATCH(SMALL(タスク!$AB$5:$AB$300,ROWS($A$7:A19)),タスク!$AB$5:$AB$300,0))),"")</f>
        <v>プレイヤー</v>
      </c>
      <c r="D19" s="53" t="str">
        <f>IFERROR(IF(SMALL(タスク!$AB$5:$AB$300,ROWS($A$7:A19))&gt;=1000000000000,"",INDEX(タスク!D$5:D$300,MATCH(SMALL(タスク!$AB$5:$AB$300,ROWS($A$7:A19)),タスク!$AB$5:$AB$300,0))),"")</f>
        <v>移動</v>
      </c>
      <c r="E19" s="53" t="str">
        <f>IFERROR(IF(SMALL(タスク!$AB$5:$AB$300,ROWS($A$7:A19))&gt;=1000000000000,"",INDEX(タスク!E$5:E$300,MATCH(SMALL(タスク!$AB$5:$AB$300,ROWS($A$7:A19)),タスク!$AB$5:$AB$300,0))),"")</f>
        <v>S</v>
      </c>
      <c r="F19" s="53" t="str">
        <f>IFERROR(IF(SMALL(タスク!$AB$5:$AB$300,ROWS($A$7:A19))&gt;=1000000000000,"",INDEX(タスク!F$5:F$300,MATCH(SMALL(タスク!$AB$5:$AB$300,ROWS($A$7:A19)),タスク!$AB$5:$AB$300,0))),"")</f>
        <v>完了</v>
      </c>
      <c r="G19" s="53">
        <f>IFERROR(IF(SMALL(タスク!$AB$5:$AB$300,ROWS($A$7:A19))&gt;=1000000000000,"",INDEX(タスク!G$5:G$300,MATCH(SMALL(タスク!$AB$5:$AB$300,ROWS($A$7:A19)),タスク!$AB$5:$AB$300,0))),"")</f>
        <v>2</v>
      </c>
      <c r="H19" s="53">
        <f>IFERROR(IF(SMALL(タスク!$AB$5:$AB$300,ROWS($A$7:A19))&gt;=1000000000000,"",INDEX(タスク!H$5:H$300,MATCH(SMALL(タスク!$AB$5:$AB$300,ROWS($A$7:A19)),タスク!$AB$5:$AB$300,0))),"")</f>
        <v>2</v>
      </c>
      <c r="I19" s="53" t="str">
        <f>IFERROR(IF(SMALL(タスク!$AB$5:$AB$300,ROWS($A$7:A19))&gt;=1000000000000,"",INDEX(タスク!I$5:I$300,MATCH(SMALL(タスク!$AB$5:$AB$300,ROWS($A$7:A19)),タスク!$AB$5:$AB$300,0))),"")</f>
        <v>Playerと移動Stateあり</v>
      </c>
      <c r="J19" s="53">
        <f>IFERROR(IF(SMALL(タスク!$AB$5:$AB$300,ROWS($A$7:A19))&gt;=1000000000000,"",INDEX(タスク!J$5:J$300,MATCH(SMALL(タスク!$AB$5:$AB$300,ROWS($A$7:A19)),タスク!$AB$5:$AB$300,0))),"")</f>
        <v>0</v>
      </c>
    </row>
    <row r="20" spans="1:10">
      <c r="A20" s="53" t="str">
        <f>IFERROR(IF(SMALL(タスク!$AB$5:$AB$300,ROWS($A$7:A20))&gt;=1000000000000,"",INDEX(タスク!A$5:A$300,MATCH(SMALL(タスク!$AB$5:$AB$300,ROWS($A$7:A20)),タスク!$AB$5:$AB$300,0))),"")</f>
        <v>T006</v>
      </c>
      <c r="B20" s="53" t="str">
        <f>IFERROR(IF(SMALL(タスク!$AB$5:$AB$300,ROWS($A$7:A20))&gt;=1000000000000,"",INDEX(タスク!B$5:B$300,MATCH(SMALL(タスク!$AB$5:$AB$300,ROWS($A$7:A20)),タスク!$AB$5:$AB$300,0))),"")</f>
        <v>プロト</v>
      </c>
      <c r="C20" s="53" t="str">
        <f>IFERROR(IF(SMALL(タスク!$AB$5:$AB$300,ROWS($A$7:A20))&gt;=1000000000000,"",INDEX(タスク!C$5:C$300,MATCH(SMALL(タスク!$AB$5:$AB$300,ROWS($A$7:A20)),タスク!$AB$5:$AB$300,0))),"")</f>
        <v>プレイヤー</v>
      </c>
      <c r="D20" s="53" t="str">
        <f>IFERROR(IF(SMALL(タスク!$AB$5:$AB$300,ROWS($A$7:A20))&gt;=1000000000000,"",INDEX(タスク!D$5:D$300,MATCH(SMALL(タスク!$AB$5:$AB$300,ROWS($A$7:A20)),タスク!$AB$5:$AB$300,0))),"")</f>
        <v>ジャンプ</v>
      </c>
      <c r="E20" s="53" t="str">
        <f>IFERROR(IF(SMALL(タスク!$AB$5:$AB$300,ROWS($A$7:A20))&gt;=1000000000000,"",INDEX(タスク!E$5:E$300,MATCH(SMALL(タスク!$AB$5:$AB$300,ROWS($A$7:A20)),タスク!$AB$5:$AB$300,0))),"")</f>
        <v>S</v>
      </c>
      <c r="F20" s="53" t="str">
        <f>IFERROR(IF(SMALL(タスク!$AB$5:$AB$300,ROWS($A$7:A20))&gt;=1000000000000,"",INDEX(タスク!F$5:F$300,MATCH(SMALL(タスク!$AB$5:$AB$300,ROWS($A$7:A20)),タスク!$AB$5:$AB$300,0))),"")</f>
        <v>完了</v>
      </c>
      <c r="G20" s="53">
        <f>IFERROR(IF(SMALL(タスク!$AB$5:$AB$300,ROWS($A$7:A20))&gt;=1000000000000,"",INDEX(タスク!G$5:G$300,MATCH(SMALL(タスク!$AB$5:$AB$300,ROWS($A$7:A20)),タスク!$AB$5:$AB$300,0))),"")</f>
        <v>1</v>
      </c>
      <c r="H20" s="53">
        <f>IFERROR(IF(SMALL(タスク!$AB$5:$AB$300,ROWS($A$7:A20))&gt;=1000000000000,"",INDEX(タスク!H$5:H$300,MATCH(SMALL(タスク!$AB$5:$AB$300,ROWS($A$7:A20)),タスク!$AB$5:$AB$300,0))),"")</f>
        <v>1</v>
      </c>
      <c r="I20" s="53" t="str">
        <f>IFERROR(IF(SMALL(タスク!$AB$5:$AB$300,ROWS($A$7:A20))&gt;=1000000000000,"",INDEX(タスク!I$5:I$300,MATCH(SMALL(タスク!$AB$5:$AB$300,ROWS($A$7:A20)),タスク!$AB$5:$AB$300,0))),"")</f>
        <v>PlayerStateJumpあり</v>
      </c>
      <c r="J20" s="53">
        <f>IFERROR(IF(SMALL(タスク!$AB$5:$AB$300,ROWS($A$7:A20))&gt;=1000000000000,"",INDEX(タスク!J$5:J$300,MATCH(SMALL(タスク!$AB$5:$AB$300,ROWS($A$7:A20)),タスク!$AB$5:$AB$300,0))),"")</f>
        <v>0</v>
      </c>
    </row>
    <row r="21" spans="1:10">
      <c r="A21" s="53" t="str">
        <f>IFERROR(IF(SMALL(タスク!$AB$5:$AB$300,ROWS($A$7:A21))&gt;=1000000000000,"",INDEX(タスク!A$5:A$300,MATCH(SMALL(タスク!$AB$5:$AB$300,ROWS($A$7:A21)),タスク!$AB$5:$AB$300,0))),"")</f>
        <v>T007</v>
      </c>
      <c r="B21" s="53" t="str">
        <f>IFERROR(IF(SMALL(タスク!$AB$5:$AB$300,ROWS($A$7:A21))&gt;=1000000000000,"",INDEX(タスク!B$5:B$300,MATCH(SMALL(タスク!$AB$5:$AB$300,ROWS($A$7:A21)),タスク!$AB$5:$AB$300,0))),"")</f>
        <v>プロト</v>
      </c>
      <c r="C21" s="53" t="str">
        <f>IFERROR(IF(SMALL(タスク!$AB$5:$AB$300,ROWS($A$7:A21))&gt;=1000000000000,"",INDEX(タスク!C$5:C$300,MATCH(SMALL(タスク!$AB$5:$AB$300,ROWS($A$7:A21)),タスク!$AB$5:$AB$300,0))),"")</f>
        <v>プレイヤー</v>
      </c>
      <c r="D21" s="53" t="str">
        <f>IFERROR(IF(SMALL(タスク!$AB$5:$AB$300,ROWS($A$7:A21))&gt;=1000000000000,"",INDEX(タスク!D$5:D$300,MATCH(SMALL(タスク!$AB$5:$AB$300,ROWS($A$7:A21)),タスク!$AB$5:$AB$300,0))),"")</f>
        <v>ホバー</v>
      </c>
      <c r="E21" s="53" t="str">
        <f>IFERROR(IF(SMALL(タスク!$AB$5:$AB$300,ROWS($A$7:A21))&gt;=1000000000000,"",INDEX(タスク!E$5:E$300,MATCH(SMALL(タスク!$AB$5:$AB$300,ROWS($A$7:A21)),タスク!$AB$5:$AB$300,0))),"")</f>
        <v>B</v>
      </c>
      <c r="F21" s="53" t="str">
        <f>IFERROR(IF(SMALL(タスク!$AB$5:$AB$300,ROWS($A$7:A21))&gt;=1000000000000,"",INDEX(タスク!F$5:F$300,MATCH(SMALL(タスク!$AB$5:$AB$300,ROWS($A$7:A21)),タスク!$AB$5:$AB$300,0))),"")</f>
        <v>完了</v>
      </c>
      <c r="G21" s="53">
        <f>IFERROR(IF(SMALL(タスク!$AB$5:$AB$300,ROWS($A$7:A21))&gt;=1000000000000,"",INDEX(タスク!G$5:G$300,MATCH(SMALL(タスク!$AB$5:$AB$300,ROWS($A$7:A21)),タスク!$AB$5:$AB$300,0))),"")</f>
        <v>2</v>
      </c>
      <c r="H21" s="53">
        <f>IFERROR(IF(SMALL(タスク!$AB$5:$AB$300,ROWS($A$7:A21))&gt;=1000000000000,"",INDEX(タスク!H$5:H$300,MATCH(SMALL(タスク!$AB$5:$AB$300,ROWS($A$7:A21)),タスク!$AB$5:$AB$300,0))),"")</f>
        <v>2</v>
      </c>
      <c r="I21" s="53" t="str">
        <f>IFERROR(IF(SMALL(タスク!$AB$5:$AB$300,ROWS($A$7:A21))&gt;=1000000000000,"",INDEX(タスク!I$5:I$300,MATCH(SMALL(タスク!$AB$5:$AB$300,ROWS($A$7:A21)),タスク!$AB$5:$AB$300,0))),"")</f>
        <v>PlayerStateHoverあり</v>
      </c>
      <c r="J21" s="53">
        <f>IFERROR(IF(SMALL(タスク!$AB$5:$AB$300,ROWS($A$7:A21))&gt;=1000000000000,"",INDEX(タスク!J$5:J$300,MATCH(SMALL(タスク!$AB$5:$AB$300,ROWS($A$7:A21)),タスク!$AB$5:$AB$300,0))),"")</f>
        <v>0</v>
      </c>
    </row>
    <row r="22" spans="1:10">
      <c r="A22" s="53" t="str">
        <f>IFERROR(IF(SMALL(タスク!$AB$5:$AB$300,ROWS($A$7:A22))&gt;=1000000000000,"",INDEX(タスク!A$5:A$300,MATCH(SMALL(タスク!$AB$5:$AB$300,ROWS($A$7:A22)),タスク!$AB$5:$AB$300,0))),"")</f>
        <v>T008</v>
      </c>
      <c r="B22" s="53" t="str">
        <f>IFERROR(IF(SMALL(タスク!$AB$5:$AB$300,ROWS($A$7:A22))&gt;=1000000000000,"",INDEX(タスク!B$5:B$300,MATCH(SMALL(タスク!$AB$5:$AB$300,ROWS($A$7:A22)),タスク!$AB$5:$AB$300,0))),"")</f>
        <v>プロト</v>
      </c>
      <c r="C22" s="53" t="str">
        <f>IFERROR(IF(SMALL(タスク!$AB$5:$AB$300,ROWS($A$7:A22))&gt;=1000000000000,"",INDEX(タスク!C$5:C$300,MATCH(SMALL(タスク!$AB$5:$AB$300,ROWS($A$7:A22)),タスク!$AB$5:$AB$300,0))),"")</f>
        <v>プレイヤー</v>
      </c>
      <c r="D22" s="53" t="str">
        <f>IFERROR(IF(SMALL(タスク!$AB$5:$AB$300,ROWS($A$7:A22))&gt;=1000000000000,"",INDEX(タスク!D$5:D$300,MATCH(SMALL(タスク!$AB$5:$AB$300,ROWS($A$7:A22)),タスク!$AB$5:$AB$300,0))),"")</f>
        <v>回避・ダッシュ</v>
      </c>
      <c r="E22" s="53" t="str">
        <f>IFERROR(IF(SMALL(タスク!$AB$5:$AB$300,ROWS($A$7:A22))&gt;=1000000000000,"",INDEX(タスク!E$5:E$300,MATCH(SMALL(タスク!$AB$5:$AB$300,ROWS($A$7:A22)),タスク!$AB$5:$AB$300,0))),"")</f>
        <v>S</v>
      </c>
      <c r="F22" s="53" t="str">
        <f>IFERROR(IF(SMALL(タスク!$AB$5:$AB$300,ROWS($A$7:A22))&gt;=1000000000000,"",INDEX(タスク!F$5:F$300,MATCH(SMALL(タスク!$AB$5:$AB$300,ROWS($A$7:A22)),タスク!$AB$5:$AB$300,0))),"")</f>
        <v>未着手</v>
      </c>
      <c r="G22" s="53">
        <f>IFERROR(IF(SMALL(タスク!$AB$5:$AB$300,ROWS($A$7:A22))&gt;=1000000000000,"",INDEX(タスク!G$5:G$300,MATCH(SMALL(タスク!$AB$5:$AB$300,ROWS($A$7:A22)),タスク!$AB$5:$AB$300,0))),"")</f>
        <v>1</v>
      </c>
      <c r="H22" s="53">
        <f>IFERROR(IF(SMALL(タスク!$AB$5:$AB$300,ROWS($A$7:A22))&gt;=1000000000000,"",INDEX(タスク!H$5:H$300,MATCH(SMALL(タスク!$AB$5:$AB$300,ROWS($A$7:A22)),タスク!$AB$5:$AB$300,0))),"")</f>
        <v>0</v>
      </c>
      <c r="I22" s="53" t="str">
        <f>IFERROR(IF(SMALL(タスク!$AB$5:$AB$300,ROWS($A$7:A22))&gt;=1000000000000,"",INDEX(タスク!I$5:I$300,MATCH(SMALL(タスク!$AB$5:$AB$300,ROWS($A$7:A22)),タスク!$AB$5:$AB$300,0))),"")</f>
        <v>Playerの状態・Physics実装を動作確認</v>
      </c>
      <c r="J22" s="53">
        <f>IFERROR(IF(SMALL(タスク!$AB$5:$AB$300,ROWS($A$7:A22))&gt;=1000000000000,"",INDEX(タスク!J$5:J$300,MATCH(SMALL(タスク!$AB$5:$AB$300,ROWS($A$7:A22)),タスク!$AB$5:$AB$300,0))),"")</f>
        <v>0</v>
      </c>
    </row>
    <row r="23" spans="1:10">
      <c r="A23" s="53" t="str">
        <f>IFERROR(IF(SMALL(タスク!$AB$5:$AB$300,ROWS($A$7:A23))&gt;=1000000000000,"",INDEX(タスク!A$5:A$300,MATCH(SMALL(タスク!$AB$5:$AB$300,ROWS($A$7:A23)),タスク!$AB$5:$AB$300,0))),"")</f>
        <v>T009</v>
      </c>
      <c r="B23" s="53" t="str">
        <f>IFERROR(IF(SMALL(タスク!$AB$5:$AB$300,ROWS($A$7:A23))&gt;=1000000000000,"",INDEX(タスク!B$5:B$300,MATCH(SMALL(タスク!$AB$5:$AB$300,ROWS($A$7:A23)),タスク!$AB$5:$AB$300,0))),"")</f>
        <v>プロト</v>
      </c>
      <c r="C23" s="53" t="str">
        <f>IFERROR(IF(SMALL(タスク!$AB$5:$AB$300,ROWS($A$7:A23))&gt;=1000000000000,"",INDEX(タスク!C$5:C$300,MATCH(SMALL(タスク!$AB$5:$AB$300,ROWS($A$7:A23)),タスク!$AB$5:$AB$300,0))),"")</f>
        <v>プレイヤー</v>
      </c>
      <c r="D23" s="53" t="str">
        <f>IFERROR(IF(SMALL(タスク!$AB$5:$AB$300,ROWS($A$7:A23))&gt;=1000000000000,"",INDEX(タスク!D$5:D$300,MATCH(SMALL(タスク!$AB$5:$AB$300,ROWS($A$7:A23)),タスク!$AB$5:$AB$300,0))),"")</f>
        <v>エイム</v>
      </c>
      <c r="E23" s="53" t="str">
        <f>IFERROR(IF(SMALL(タスク!$AB$5:$AB$300,ROWS($A$7:A23))&gt;=1000000000000,"",INDEX(タスク!E$5:E$300,MATCH(SMALL(タスク!$AB$5:$AB$300,ROWS($A$7:A23)),タスク!$AB$5:$AB$300,0))),"")</f>
        <v>S</v>
      </c>
      <c r="F23" s="53" t="str">
        <f>IFERROR(IF(SMALL(タスク!$AB$5:$AB$300,ROWS($A$7:A23))&gt;=1000000000000,"",INDEX(タスク!F$5:F$300,MATCH(SMALL(タスク!$AB$5:$AB$300,ROWS($A$7:A23)),タスク!$AB$5:$AB$300,0))),"")</f>
        <v>完了</v>
      </c>
      <c r="G23" s="53">
        <f>IFERROR(IF(SMALL(タスク!$AB$5:$AB$300,ROWS($A$7:A23))&gt;=1000000000000,"",INDEX(タスク!G$5:G$300,MATCH(SMALL(タスク!$AB$5:$AB$300,ROWS($A$7:A23)),タスク!$AB$5:$AB$300,0))),"")</f>
        <v>10</v>
      </c>
      <c r="H23" s="53">
        <f>IFERROR(IF(SMALL(タスク!$AB$5:$AB$300,ROWS($A$7:A23))&gt;=1000000000000,"",INDEX(タスク!H$5:H$300,MATCH(SMALL(タスク!$AB$5:$AB$300,ROWS($A$7:A23)),タスク!$AB$5:$AB$300,0))),"")</f>
        <v>0</v>
      </c>
      <c r="I23" s="53" t="str">
        <f>IFERROR(IF(SMALL(タスク!$AB$5:$AB$300,ROWS($A$7:A23))&gt;=1000000000000,"",INDEX(タスク!I$5:I$300,MATCH(SMALL(タスク!$AB$5:$AB$300,ROWS($A$7:A23)),タスク!$AB$5:$AB$300,0))),"")</f>
        <v>Playerの照準レイ・カメラ参照あり。操作感と座標系確認</v>
      </c>
      <c r="J23" s="53">
        <f>IFERROR(IF(SMALL(タスク!$AB$5:$AB$300,ROWS($A$7:A23))&gt;=1000000000000,"",INDEX(タスク!J$5:J$300,MATCH(SMALL(タスク!$AB$5:$AB$300,ROWS($A$7:A23)),タスク!$AB$5:$AB$300,0))),"")</f>
        <v>0</v>
      </c>
    </row>
    <row r="24" spans="1:10">
      <c r="A24" s="53" t="str">
        <f>IFERROR(IF(SMALL(タスク!$AB$5:$AB$300,ROWS($A$7:A24))&gt;=1000000000000,"",INDEX(タスク!A$5:A$300,MATCH(SMALL(タスク!$AB$5:$AB$300,ROWS($A$7:A24)),タスク!$AB$5:$AB$300,0))),"")</f>
        <v>T010</v>
      </c>
      <c r="B24" s="53" t="str">
        <f>IFERROR(IF(SMALL(タスク!$AB$5:$AB$300,ROWS($A$7:A24))&gt;=1000000000000,"",INDEX(タスク!B$5:B$300,MATCH(SMALL(タスク!$AB$5:$AB$300,ROWS($A$7:A24)),タスク!$AB$5:$AB$300,0))),"")</f>
        <v>プロト</v>
      </c>
      <c r="C24" s="53" t="str">
        <f>IFERROR(IF(SMALL(タスク!$AB$5:$AB$300,ROWS($A$7:A24))&gt;=1000000000000,"",INDEX(タスク!C$5:C$300,MATCH(SMALL(タスク!$AB$5:$AB$300,ROWS($A$7:A24)),タスク!$AB$5:$AB$300,0))),"")</f>
        <v>プレイヤー</v>
      </c>
      <c r="D24" s="53" t="str">
        <f>IFERROR(IF(SMALL(タスク!$AB$5:$AB$300,ROWS($A$7:A24))&gt;=1000000000000,"",INDEX(タスク!D$5:D$300,MATCH(SMALL(タスク!$AB$5:$AB$300,ROWS($A$7:A24)),タスク!$AB$5:$AB$300,0))),"")</f>
        <v>射撃</v>
      </c>
      <c r="E24" s="53" t="str">
        <f>IFERROR(IF(SMALL(タスク!$AB$5:$AB$300,ROWS($A$7:A24))&gt;=1000000000000,"",INDEX(タスク!E$5:E$300,MATCH(SMALL(タスク!$AB$5:$AB$300,ROWS($A$7:A24)),タスク!$AB$5:$AB$300,0))),"")</f>
        <v>S</v>
      </c>
      <c r="F24" s="53" t="str">
        <f>IFERROR(IF(SMALL(タスク!$AB$5:$AB$300,ROWS($A$7:A24))&gt;=1000000000000,"",INDEX(タスク!F$5:F$300,MATCH(SMALL(タスク!$AB$5:$AB$300,ROWS($A$7:A24)),タスク!$AB$5:$AB$300,0))),"")</f>
        <v>進行中</v>
      </c>
      <c r="G24" s="53">
        <f>IFERROR(IF(SMALL(タスク!$AB$5:$AB$300,ROWS($A$7:A24))&gt;=1000000000000,"",INDEX(タスク!G$5:G$300,MATCH(SMALL(タスク!$AB$5:$AB$300,ROWS($A$7:A24)),タスク!$AB$5:$AB$300,0))),"")</f>
        <v>9</v>
      </c>
      <c r="H24" s="53">
        <f>IFERROR(IF(SMALL(タスク!$AB$5:$AB$300,ROWS($A$7:A24))&gt;=1000000000000,"",INDEX(タスク!H$5:H$300,MATCH(SMALL(タスク!$AB$5:$AB$300,ROWS($A$7:A24)),タスク!$AB$5:$AB$300,0))),"")</f>
        <v>0</v>
      </c>
      <c r="I24" s="53" t="str">
        <f>IFERROR(IF(SMALL(タスク!$AB$5:$AB$300,ROWS($A$7:A24))&gt;=1000000000000,"",INDEX(タスク!I$5:I$300,MATCH(SMALL(タスク!$AB$5:$AB$300,ROWS($A$7:A24)),タスク!$AB$5:$AB$300,0))),"")</f>
        <v>PlayerのRayCastと銃モデル描画あり。被弾通知・ダメージ連携を追加</v>
      </c>
      <c r="J24" s="53">
        <f>IFERROR(IF(SMALL(タスク!$AB$5:$AB$300,ROWS($A$7:A24))&gt;=1000000000000,"",INDEX(タスク!J$5:J$300,MATCH(SMALL(タスク!$AB$5:$AB$300,ROWS($A$7:A24)),タスク!$AB$5:$AB$300,0))),"")</f>
        <v>0</v>
      </c>
    </row>
    <row r="25" spans="1:10">
      <c r="A25" s="53" t="str">
        <f>IFERROR(IF(SMALL(タスク!$AB$5:$AB$300,ROWS($A$7:A25))&gt;=1000000000000,"",INDEX(タスク!A$5:A$300,MATCH(SMALL(タスク!$AB$5:$AB$300,ROWS($A$7:A25)),タスク!$AB$5:$AB$300,0))),"")</f>
        <v>T011</v>
      </c>
      <c r="B25" s="53" t="str">
        <f>IFERROR(IF(SMALL(タスク!$AB$5:$AB$300,ROWS($A$7:A25))&gt;=1000000000000,"",INDEX(タスク!B$5:B$300,MATCH(SMALL(タスク!$AB$5:$AB$300,ROWS($A$7:A25)),タスク!$AB$5:$AB$300,0))),"")</f>
        <v>プロト</v>
      </c>
      <c r="C25" s="53" t="str">
        <f>IFERROR(IF(SMALL(タスク!$AB$5:$AB$300,ROWS($A$7:A25))&gt;=1000000000000,"",INDEX(タスク!C$5:C$300,MATCH(SMALL(タスク!$AB$5:$AB$300,ROWS($A$7:A25)),タスク!$AB$5:$AB$300,0))),"")</f>
        <v>プレイヤー</v>
      </c>
      <c r="D25" s="53" t="str">
        <f>IFERROR(IF(SMALL(タスク!$AB$5:$AB$300,ROWS($A$7:A25))&gt;=1000000000000,"",INDEX(タスク!D$5:D$300,MATCH(SMALL(タスク!$AB$5:$AB$300,ROWS($A$7:A25)),タスク!$AB$5:$AB$300,0))),"")</f>
        <v>必殺技</v>
      </c>
      <c r="E25" s="53" t="str">
        <f>IFERROR(IF(SMALL(タスク!$AB$5:$AB$300,ROWS($A$7:A25))&gt;=1000000000000,"",INDEX(タスク!E$5:E$300,MATCH(SMALL(タスク!$AB$5:$AB$300,ROWS($A$7:A25)),タスク!$AB$5:$AB$300,0))),"")</f>
        <v>B</v>
      </c>
      <c r="F25" s="53" t="str">
        <f>IFERROR(IF(SMALL(タスク!$AB$5:$AB$300,ROWS($A$7:A25))&gt;=1000000000000,"",INDEX(タスク!F$5:F$300,MATCH(SMALL(タスク!$AB$5:$AB$300,ROWS($A$7:A25)),タスク!$AB$5:$AB$300,0))),"")</f>
        <v>未着手</v>
      </c>
      <c r="G25" s="53">
        <f>IFERROR(IF(SMALL(タスク!$AB$5:$AB$300,ROWS($A$7:A25))&gt;=1000000000000,"",INDEX(タスク!G$5:G$300,MATCH(SMALL(タスク!$AB$5:$AB$300,ROWS($A$7:A25)),タスク!$AB$5:$AB$300,0))),"")</f>
        <v>5</v>
      </c>
      <c r="H25" s="53">
        <f>IFERROR(IF(SMALL(タスク!$AB$5:$AB$300,ROWS($A$7:A25))&gt;=1000000000000,"",INDEX(タスク!H$5:H$300,MATCH(SMALL(タスク!$AB$5:$AB$300,ROWS($A$7:A25)),タスク!$AB$5:$AB$300,0))),"")</f>
        <v>0</v>
      </c>
      <c r="I25" s="53" t="str">
        <f>IFERROR(IF(SMALL(タスク!$AB$5:$AB$300,ROWS($A$7:A25))&gt;=1000000000000,"",INDEX(タスク!I$5:I$300,MATCH(SMALL(タスク!$AB$5:$AB$300,ROWS($A$7:A25)),タスク!$AB$5:$AB$300,0))),"")</f>
        <v>元表の項目。仕様未確定</v>
      </c>
      <c r="J25" s="53">
        <f>IFERROR(IF(SMALL(タスク!$AB$5:$AB$300,ROWS($A$7:A25))&gt;=1000000000000,"",INDEX(タスク!J$5:J$300,MATCH(SMALL(タスク!$AB$5:$AB$300,ROWS($A$7:A25)),タスク!$AB$5:$AB$300,0))),"")</f>
        <v>0</v>
      </c>
    </row>
    <row r="26" spans="1:10">
      <c r="A26" s="53" t="str">
        <f>IFERROR(IF(SMALL(タスク!$AB$5:$AB$300,ROWS($A$7:A26))&gt;=1000000000000,"",INDEX(タスク!A$5:A$300,MATCH(SMALL(タスク!$AB$5:$AB$300,ROWS($A$7:A26)),タスク!$AB$5:$AB$300,0))),"")</f>
        <v>T048</v>
      </c>
      <c r="B26" s="53" t="str">
        <f>IFERROR(IF(SMALL(タスク!$AB$5:$AB$300,ROWS($A$7:A26))&gt;=1000000000000,"",INDEX(タスク!B$5:B$300,MATCH(SMALL(タスク!$AB$5:$AB$300,ROWS($A$7:A26)),タスク!$AB$5:$AB$300,0))),"")</f>
        <v>プロト</v>
      </c>
      <c r="C26" s="53" t="str">
        <f>IFERROR(IF(SMALL(タスク!$AB$5:$AB$300,ROWS($A$7:A26))&gt;=1000000000000,"",INDEX(タスク!C$5:C$300,MATCH(SMALL(タスク!$AB$5:$AB$300,ROWS($A$7:A26)),タスク!$AB$5:$AB$300,0))),"")</f>
        <v>射撃</v>
      </c>
      <c r="D26" s="53" t="str">
        <f>IFERROR(IF(SMALL(タスク!$AB$5:$AB$300,ROWS($A$7:A26))&gt;=1000000000000,"",INDEX(タスク!D$5:D$300,MATCH(SMALL(タスク!$AB$5:$AB$300,ROWS($A$7:A26)),タスク!$AB$5:$AB$300,0))),"")</f>
        <v>被弾対象コンポーネントと命中通知</v>
      </c>
      <c r="E26" s="53" t="str">
        <f>IFERROR(IF(SMALL(タスク!$AB$5:$AB$300,ROWS($A$7:A26))&gt;=1000000000000,"",INDEX(タスク!E$5:E$300,MATCH(SMALL(タスク!$AB$5:$AB$300,ROWS($A$7:A26)),タスク!$AB$5:$AB$300,0))),"")</f>
        <v>S</v>
      </c>
      <c r="F26" s="53" t="str">
        <f>IFERROR(IF(SMALL(タスク!$AB$5:$AB$300,ROWS($A$7:A26))&gt;=1000000000000,"",INDEX(タスク!F$5:F$300,MATCH(SMALL(タスク!$AB$5:$AB$300,ROWS($A$7:A26)),タスク!$AB$5:$AB$300,0))),"")</f>
        <v>計画追加</v>
      </c>
      <c r="G26" s="53">
        <f>IFERROR(IF(SMALL(タスク!$AB$5:$AB$300,ROWS($A$7:A26))&gt;=1000000000000,"",INDEX(タスク!G$5:G$300,MATCH(SMALL(タスク!$AB$5:$AB$300,ROWS($A$7:A26)),タスク!$AB$5:$AB$300,0))),"")</f>
        <v>8</v>
      </c>
      <c r="H26" s="53">
        <f>IFERROR(IF(SMALL(タスク!$AB$5:$AB$300,ROWS($A$7:A26))&gt;=1000000000000,"",INDEX(タスク!H$5:H$300,MATCH(SMALL(タスク!$AB$5:$AB$300,ROWS($A$7:A26)),タスク!$AB$5:$AB$300,0))),"")</f>
        <v>0</v>
      </c>
      <c r="I26" s="53" t="str">
        <f>IFERROR(IF(SMALL(タスク!$AB$5:$AB$300,ROWS($A$7:A26))&gt;=1000000000000,"",INDEX(タスク!I$5:I$300,MATCH(SMALL(タスク!$AB$5:$AB$300,ROWS($A$7:A26)),タスク!$AB$5:$AB$300,0))),"")</f>
        <v>Hitboxはあるが射撃対象登録/ダメージ通知一式は独立項目なし</v>
      </c>
      <c r="J26" s="53">
        <f>IFERROR(IF(SMALL(タスク!$AB$5:$AB$300,ROWS($A$7:A26))&gt;=1000000000000,"",INDEX(タスク!J$5:J$300,MATCH(SMALL(タスク!$AB$5:$AB$300,ROWS($A$7:A26)),タスク!$AB$5:$AB$300,0))),"")</f>
        <v>0</v>
      </c>
    </row>
    <row r="27" spans="1:10">
      <c r="A27" s="53" t="str">
        <f>IFERROR(IF(SMALL(タスク!$AB$5:$AB$300,ROWS($A$7:A27))&gt;=1000000000000,"",INDEX(タスク!A$5:A$300,MATCH(SMALL(タスク!$AB$5:$AB$300,ROWS($A$7:A27)),タスク!$AB$5:$AB$300,0))),"")</f>
        <v>T030</v>
      </c>
      <c r="B27" s="53" t="str">
        <f>IFERROR(IF(SMALL(タスク!$AB$5:$AB$300,ROWS($A$7:A27))&gt;=1000000000000,"",INDEX(タスク!B$5:B$300,MATCH(SMALL(タスク!$AB$5:$AB$300,ROWS($A$7:A27)),タスク!$AB$5:$AB$300,0))),"")</f>
        <v>プロト</v>
      </c>
      <c r="C27" s="53" t="str">
        <f>IFERROR(IF(SMALL(タスク!$AB$5:$AB$300,ROWS($A$7:A27))&gt;=1000000000000,"",INDEX(タスク!C$5:C$300,MATCH(SMALL(タスク!$AB$5:$AB$300,ROWS($A$7:A27)),タスク!$AB$5:$AB$300,0))),"")</f>
        <v>素材</v>
      </c>
      <c r="D27" s="53" t="str">
        <f>IFERROR(IF(SMALL(タスク!$AB$5:$AB$300,ROWS($A$7:A27))&gt;=1000000000000,"",INDEX(タスク!D$5:D$300,MATCH(SMALL(タスク!$AB$5:$AB$300,ROWS($A$7:A27)),タスク!$AB$5:$AB$300,0))),"")</f>
        <v>モデル</v>
      </c>
      <c r="E27" s="53" t="str">
        <f>IFERROR(IF(SMALL(タスク!$AB$5:$AB$300,ROWS($A$7:A27))&gt;=1000000000000,"",INDEX(タスク!E$5:E$300,MATCH(SMALL(タスク!$AB$5:$AB$300,ROWS($A$7:A27)),タスク!$AB$5:$AB$300,0))),"")</f>
        <v>S</v>
      </c>
      <c r="F27" s="53" t="str">
        <f>IFERROR(IF(SMALL(タスク!$AB$5:$AB$300,ROWS($A$7:A27))&gt;=1000000000000,"",INDEX(タスク!F$5:F$300,MATCH(SMALL(タスク!$AB$5:$AB$300,ROWS($A$7:A27)),タスク!$AB$5:$AB$300,0))),"")</f>
        <v>進行中</v>
      </c>
      <c r="G27" s="53">
        <f>IFERROR(IF(SMALL(タスク!$AB$5:$AB$300,ROWS($A$7:A27))&gt;=1000000000000,"",INDEX(タスク!G$5:G$300,MATCH(SMALL(タスク!$AB$5:$AB$300,ROWS($A$7:A27)),タスク!$AB$5:$AB$300,0))),"")</f>
        <v>5</v>
      </c>
      <c r="H27" s="53">
        <f>IFERROR(IF(SMALL(タスク!$AB$5:$AB$300,ROWS($A$7:A27))&gt;=1000000000000,"",INDEX(タスク!H$5:H$300,MATCH(SMALL(タスク!$AB$5:$AB$300,ROWS($A$7:A27)),タスク!$AB$5:$AB$300,0))),"")</f>
        <v>0</v>
      </c>
      <c r="I27" s="53" t="str">
        <f>IFERROR(IF(SMALL(タスク!$AB$5:$AB$300,ROWS($A$7:A27))&gt;=1000000000000,"",INDEX(タスク!I$5:I$300,MATCH(SMALL(タスク!$AB$5:$AB$300,ROWS($A$7:A27)),タスク!$AB$5:$AB$300,0))),"")</f>
        <v>Player/Gun/Walkerモデル参照あり。配置・スケール確認</v>
      </c>
      <c r="J27" s="53">
        <f>IFERROR(IF(SMALL(タスク!$AB$5:$AB$300,ROWS($A$7:A27))&gt;=1000000000000,"",INDEX(タスク!J$5:J$300,MATCH(SMALL(タスク!$AB$5:$AB$300,ROWS($A$7:A27)),タスク!$AB$5:$AB$300,0))),"")</f>
        <v>0</v>
      </c>
    </row>
    <row r="28" spans="1:10">
      <c r="A28" s="53" t="str">
        <f>IFERROR(IF(SMALL(タスク!$AB$5:$AB$300,ROWS($A$7:A28))&gt;=1000000000000,"",INDEX(タスク!A$5:A$300,MATCH(SMALL(タスク!$AB$5:$AB$300,ROWS($A$7:A28)),タスク!$AB$5:$AB$300,0))),"")</f>
        <v>T031</v>
      </c>
      <c r="B28" s="53" t="str">
        <f>IFERROR(IF(SMALL(タスク!$AB$5:$AB$300,ROWS($A$7:A28))&gt;=1000000000000,"",INDEX(タスク!B$5:B$300,MATCH(SMALL(タスク!$AB$5:$AB$300,ROWS($A$7:A28)),タスク!$AB$5:$AB$300,0))),"")</f>
        <v>プロト</v>
      </c>
      <c r="C28" s="53" t="str">
        <f>IFERROR(IF(SMALL(タスク!$AB$5:$AB$300,ROWS($A$7:A28))&gt;=1000000000000,"",INDEX(タスク!C$5:C$300,MATCH(SMALL(タスク!$AB$5:$AB$300,ROWS($A$7:A28)),タスク!$AB$5:$AB$300,0))),"")</f>
        <v>素材</v>
      </c>
      <c r="D28" s="53" t="str">
        <f>IFERROR(IF(SMALL(タスク!$AB$5:$AB$300,ROWS($A$7:A28))&gt;=1000000000000,"",INDEX(タスク!D$5:D$300,MATCH(SMALL(タスク!$AB$5:$AB$300,ROWS($A$7:A28)),タスク!$AB$5:$AB$300,0))),"")</f>
        <v>アニメーション素材</v>
      </c>
      <c r="E28" s="53" t="str">
        <f>IFERROR(IF(SMALL(タスク!$AB$5:$AB$300,ROWS($A$7:A28))&gt;=1000000000000,"",INDEX(タスク!E$5:E$300,MATCH(SMALL(タスク!$AB$5:$AB$300,ROWS($A$7:A28)),タスク!$AB$5:$AB$300,0))),"")</f>
        <v>S</v>
      </c>
      <c r="F28" s="53" t="str">
        <f>IFERROR(IF(SMALL(タスク!$AB$5:$AB$300,ROWS($A$7:A28))&gt;=1000000000000,"",INDEX(タスク!F$5:F$300,MATCH(SMALL(タスク!$AB$5:$AB$300,ROWS($A$7:A28)),タスク!$AB$5:$AB$300,0))),"")</f>
        <v>進行中</v>
      </c>
      <c r="G28" s="53">
        <f>IFERROR(IF(SMALL(タスク!$AB$5:$AB$300,ROWS($A$7:A28))&gt;=1000000000000,"",INDEX(タスク!G$5:G$300,MATCH(SMALL(タスク!$AB$5:$AB$300,ROWS($A$7:A28)),タスク!$AB$5:$AB$300,0))),"")</f>
        <v>5</v>
      </c>
      <c r="H28" s="53">
        <f>IFERROR(IF(SMALL(タスク!$AB$5:$AB$300,ROWS($A$7:A28))&gt;=1000000000000,"",INDEX(タスク!H$5:H$300,MATCH(SMALL(タスク!$AB$5:$AB$300,ROWS($A$7:A28)),タスク!$AB$5:$AB$300,0))),"")</f>
        <v>0</v>
      </c>
      <c r="I28" s="53" t="str">
        <f>IFERROR(IF(SMALL(タスク!$AB$5:$AB$300,ROWS($A$7:A28))&gt;=1000000000000,"",INDEX(タスク!I$5:I$300,MATCH(SMALL(タスク!$AB$5:$AB$300,ROWS($A$7:A28)),タスク!$AB$5:$AB$300,0))),"")</f>
        <v>Animator基盤あり。必要なアニメーション組み込み</v>
      </c>
      <c r="J28" s="53">
        <f>IFERROR(IF(SMALL(タスク!$AB$5:$AB$300,ROWS($A$7:A28))&gt;=1000000000000,"",INDEX(タスク!J$5:J$300,MATCH(SMALL(タスク!$AB$5:$AB$300,ROWS($A$7:A28)),タスク!$AB$5:$AB$300,0))),"")</f>
        <v>0</v>
      </c>
    </row>
    <row r="29" spans="1:10">
      <c r="A29" s="53" t="str">
        <f>IFERROR(IF(SMALL(タスク!$AB$5:$AB$300,ROWS($A$7:A29))&gt;=1000000000000,"",INDEX(タスク!A$5:A$300,MATCH(SMALL(タスク!$AB$5:$AB$300,ROWS($A$7:A29)),タスク!$AB$5:$AB$300,0))),"")</f>
        <v>T018</v>
      </c>
      <c r="B29" s="53" t="str">
        <f>IFERROR(IF(SMALL(タスク!$AB$5:$AB$300,ROWS($A$7:A29))&gt;=1000000000000,"",INDEX(タスク!B$5:B$300,MATCH(SMALL(タスク!$AB$5:$AB$300,ROWS($A$7:A29)),タスク!$AB$5:$AB$300,0))),"")</f>
        <v>プロト</v>
      </c>
      <c r="C29" s="53" t="str">
        <f>IFERROR(IF(SMALL(タスク!$AB$5:$AB$300,ROWS($A$7:A29))&gt;=1000000000000,"",INDEX(タスク!C$5:C$300,MATCH(SMALL(タスク!$AB$5:$AB$300,ROWS($A$7:A29)),タスク!$AB$5:$AB$300,0))),"")</f>
        <v>敵</v>
      </c>
      <c r="D29" s="53" t="str">
        <f>IFERROR(IF(SMALL(タスク!$AB$5:$AB$300,ROWS($A$7:A29))&gt;=1000000000000,"",INDEX(タスク!D$5:D$300,MATCH(SMALL(タスク!$AB$5:$AB$300,ROWS($A$7:A29)),タスク!$AB$5:$AB$300,0))),"")</f>
        <v>敵ベース</v>
      </c>
      <c r="E29" s="53" t="str">
        <f>IFERROR(IF(SMALL(タスク!$AB$5:$AB$300,ROWS($A$7:A29))&gt;=1000000000000,"",INDEX(タスク!E$5:E$300,MATCH(SMALL(タスク!$AB$5:$AB$300,ROWS($A$7:A29)),タスク!$AB$5:$AB$300,0))),"")</f>
        <v>S</v>
      </c>
      <c r="F29" s="53" t="str">
        <f>IFERROR(IF(SMALL(タスク!$AB$5:$AB$300,ROWS($A$7:A29))&gt;=1000000000000,"",INDEX(タスク!F$5:F$300,MATCH(SMALL(タスク!$AB$5:$AB$300,ROWS($A$7:A29)),タスク!$AB$5:$AB$300,0))),"")</f>
        <v>コードあり・要確認</v>
      </c>
      <c r="G29" s="53">
        <f>IFERROR(IF(SMALL(タスク!$AB$5:$AB$300,ROWS($A$7:A29))&gt;=1000000000000,"",INDEX(タスク!G$5:G$300,MATCH(SMALL(タスク!$AB$5:$AB$300,ROWS($A$7:A29)),タスク!$AB$5:$AB$300,0))),"")</f>
        <v>4</v>
      </c>
      <c r="H29" s="53">
        <f>IFERROR(IF(SMALL(タスク!$AB$5:$AB$300,ROWS($A$7:A29))&gt;=1000000000000,"",INDEX(タスク!H$5:H$300,MATCH(SMALL(タスク!$AB$5:$AB$300,ROWS($A$7:A29)),タスク!$AB$5:$AB$300,0))),"")</f>
        <v>2</v>
      </c>
      <c r="I29" s="53" t="str">
        <f>IFERROR(IF(SMALL(タスク!$AB$5:$AB$300,ROWS($A$7:A29))&gt;=1000000000000,"",INDEX(タスク!I$5:I$300,MATCH(SMALL(タスク!$AB$5:$AB$300,ROWS($A$7:A29)),タスク!$AB$5:$AB$300,0))),"")</f>
        <v>EnemyBase、Hitbox、Hackable、EnemyHPUIあり</v>
      </c>
      <c r="J29" s="53">
        <f>IFERROR(IF(SMALL(タスク!$AB$5:$AB$300,ROWS($A$7:A29))&gt;=1000000000000,"",INDEX(タスク!J$5:J$300,MATCH(SMALL(タスク!$AB$5:$AB$300,ROWS($A$7:A29)),タスク!$AB$5:$AB$300,0))),"")</f>
        <v>0</v>
      </c>
    </row>
    <row r="30" spans="1:10">
      <c r="A30" s="53" t="str">
        <f>IFERROR(IF(SMALL(タスク!$AB$5:$AB$300,ROWS($A$7:A30))&gt;=1000000000000,"",INDEX(タスク!A$5:A$300,MATCH(SMALL(タスク!$AB$5:$AB$300,ROWS($A$7:A30)),タスク!$AB$5:$AB$300,0))),"")</f>
        <v>T019</v>
      </c>
      <c r="B30" s="53" t="str">
        <f>IFERROR(IF(SMALL(タスク!$AB$5:$AB$300,ROWS($A$7:A30))&gt;=1000000000000,"",INDEX(タスク!B$5:B$300,MATCH(SMALL(タスク!$AB$5:$AB$300,ROWS($A$7:A30)),タスク!$AB$5:$AB$300,0))),"")</f>
        <v>プロト</v>
      </c>
      <c r="C30" s="53" t="str">
        <f>IFERROR(IF(SMALL(タスク!$AB$5:$AB$300,ROWS($A$7:A30))&gt;=1000000000000,"",INDEX(タスク!C$5:C$300,MATCH(SMALL(タスク!$AB$5:$AB$300,ROWS($A$7:A30)),タスク!$AB$5:$AB$300,0))),"")</f>
        <v>敵</v>
      </c>
      <c r="D30" s="53" t="str">
        <f>IFERROR(IF(SMALL(タスク!$AB$5:$AB$300,ROWS($A$7:A30))&gt;=1000000000000,"",INDEX(タスク!D$5:D$300,MATCH(SMALL(タスク!$AB$5:$AB$300,ROWS($A$7:A30)),タスク!$AB$5:$AB$300,0))),"")</f>
        <v>雑魚敵1（テスト敵）</v>
      </c>
      <c r="E30" s="53" t="str">
        <f>IFERROR(IF(SMALL(タスク!$AB$5:$AB$300,ROWS($A$7:A30))&gt;=1000000000000,"",INDEX(タスク!E$5:E$300,MATCH(SMALL(タスク!$AB$5:$AB$300,ROWS($A$7:A30)),タスク!$AB$5:$AB$300,0))),"")</f>
        <v>S</v>
      </c>
      <c r="F30" s="53" t="str">
        <f>IFERROR(IF(SMALL(タスク!$AB$5:$AB$300,ROWS($A$7:A30))&gt;=1000000000000,"",INDEX(タスク!F$5:F$300,MATCH(SMALL(タスク!$AB$5:$AB$300,ROWS($A$7:A30)),タスク!$AB$5:$AB$300,0))),"")</f>
        <v>コードあり・要確認</v>
      </c>
      <c r="G30" s="53">
        <f>IFERROR(IF(SMALL(タスク!$AB$5:$AB$300,ROWS($A$7:A30))&gt;=1000000000000,"",INDEX(タスク!G$5:G$300,MATCH(SMALL(タスク!$AB$5:$AB$300,ROWS($A$7:A30)),タスク!$AB$5:$AB$300,0))),"")</f>
        <v>4</v>
      </c>
      <c r="H30" s="53">
        <f>IFERROR(IF(SMALL(タスク!$AB$5:$AB$300,ROWS($A$7:A30))&gt;=1000000000000,"",INDEX(タスク!H$5:H$300,MATCH(SMALL(タスク!$AB$5:$AB$300,ROWS($A$7:A30)),タスク!$AB$5:$AB$300,0))),"")</f>
        <v>4</v>
      </c>
      <c r="I30" s="53" t="str">
        <f>IFERROR(IF(SMALL(タスク!$AB$5:$AB$300,ROWS($A$7:A30))&gt;=1000000000000,"",INDEX(タスク!I$5:I$300,MATCH(SMALL(タスク!$AB$5:$AB$300,ROWS($A$7:A30)),タスク!$AB$5:$AB$300,0))),"")</f>
        <v>TestEnemy.cpp/hあり</v>
      </c>
      <c r="J30" s="53">
        <f>IFERROR(IF(SMALL(タスク!$AB$5:$AB$300,ROWS($A$7:A30))&gt;=1000000000000,"",INDEX(タスク!J$5:J$300,MATCH(SMALL(タスク!$AB$5:$AB$300,ROWS($A$7:A30)),タスク!$AB$5:$AB$300,0))),"")</f>
        <v>0</v>
      </c>
    </row>
    <row r="31" spans="1:10">
      <c r="A31" s="53" t="str">
        <f>IFERROR(IF(SMALL(タスク!$AB$5:$AB$300,ROWS($A$7:A31))&gt;=1000000000000,"",INDEX(タスク!A$5:A$300,MATCH(SMALL(タスク!$AB$5:$AB$300,ROWS($A$7:A31)),タスク!$AB$5:$AB$300,0))),"")</f>
        <v>T022</v>
      </c>
      <c r="B31" s="53" t="str">
        <f>IFERROR(IF(SMALL(タスク!$AB$5:$AB$300,ROWS($A$7:A31))&gt;=1000000000000,"",INDEX(タスク!B$5:B$300,MATCH(SMALL(タスク!$AB$5:$AB$300,ROWS($A$7:A31)),タスク!$AB$5:$AB$300,0))),"")</f>
        <v>プロト</v>
      </c>
      <c r="C31" s="53" t="str">
        <f>IFERROR(IF(SMALL(タスク!$AB$5:$AB$300,ROWS($A$7:A31))&gt;=1000000000000,"",INDEX(タスク!C$5:C$300,MATCH(SMALL(タスク!$AB$5:$AB$300,ROWS($A$7:A31)),タスク!$AB$5:$AB$300,0))),"")</f>
        <v>敵</v>
      </c>
      <c r="D31" s="53" t="str">
        <f>IFERROR(IF(SMALL(タスク!$AB$5:$AB$300,ROWS($A$7:A31))&gt;=1000000000000,"",INDEX(タスク!D$5:D$300,MATCH(SMALL(タスク!$AB$5:$AB$300,ROWS($A$7:A31)),タスク!$AB$5:$AB$300,0))),"")</f>
        <v>ボス1</v>
      </c>
      <c r="E31" s="53" t="str">
        <f>IFERROR(IF(SMALL(タスク!$AB$5:$AB$300,ROWS($A$7:A31))&gt;=1000000000000,"",INDEX(タスク!E$5:E$300,MATCH(SMALL(タスク!$AB$5:$AB$300,ROWS($A$7:A31)),タスク!$AB$5:$AB$300,0))),"")</f>
        <v>S</v>
      </c>
      <c r="F31" s="53" t="str">
        <f>IFERROR(IF(SMALL(タスク!$AB$5:$AB$300,ROWS($A$7:A31))&gt;=1000000000000,"",INDEX(タスク!F$5:F$300,MATCH(SMALL(タスク!$AB$5:$AB$300,ROWS($A$7:A31)),タスク!$AB$5:$AB$300,0))),"")</f>
        <v>未着手</v>
      </c>
      <c r="G31" s="53">
        <f>IFERROR(IF(SMALL(タスク!$AB$5:$AB$300,ROWS($A$7:A31))&gt;=1000000000000,"",INDEX(タスク!G$5:G$300,MATCH(SMALL(タスク!$AB$5:$AB$300,ROWS($A$7:A31)),タスク!$AB$5:$AB$300,0))),"")</f>
        <v>7</v>
      </c>
      <c r="H31" s="53">
        <f>IFERROR(IF(SMALL(タスク!$AB$5:$AB$300,ROWS($A$7:A31))&gt;=1000000000000,"",INDEX(タスク!H$5:H$300,MATCH(SMALL(タスク!$AB$5:$AB$300,ROWS($A$7:A31)),タスク!$AB$5:$AB$300,0))),"")</f>
        <v>0</v>
      </c>
      <c r="I31" s="53" t="str">
        <f>IFERROR(IF(SMALL(タスク!$AB$5:$AB$300,ROWS($A$7:A31))&gt;=1000000000000,"",INDEX(タスク!I$5:I$300,MATCH(SMALL(タスク!$AB$5:$AB$300,ROWS($A$7:A31)),タスク!$AB$5:$AB$300,0))),"")</f>
        <v>元表の項目</v>
      </c>
      <c r="J31" s="53">
        <f>IFERROR(IF(SMALL(タスク!$AB$5:$AB$300,ROWS($A$7:A31))&gt;=1000000000000,"",INDEX(タスク!J$5:J$300,MATCH(SMALL(タスク!$AB$5:$AB$300,ROWS($A$7:A31)),タスク!$AB$5:$AB$300,0))),"")</f>
        <v>0</v>
      </c>
    </row>
    <row r="32" spans="1:10">
      <c r="A32" s="53" t="str">
        <f>IFERROR(IF(SMALL(タスク!$AB$5:$AB$300,ROWS($A$7:A32))&gt;=1000000000000,"",INDEX(タスク!A$5:A$300,MATCH(SMALL(タスク!$AB$5:$AB$300,ROWS($A$7:A32)),タスク!$AB$5:$AB$300,0))),"")</f>
        <v>T001</v>
      </c>
      <c r="B32" s="53" t="str">
        <f>IFERROR(IF(SMALL(タスク!$AB$5:$AB$300,ROWS($A$7:A32))&gt;=1000000000000,"",INDEX(タスク!B$5:B$300,MATCH(SMALL(タスク!$AB$5:$AB$300,ROWS($A$7:A32)),タスク!$AB$5:$AB$300,0))),"")</f>
        <v>プロト</v>
      </c>
      <c r="C32" s="53" t="str">
        <f>IFERROR(IF(SMALL(タスク!$AB$5:$AB$300,ROWS($A$7:A32))&gt;=1000000000000,"",INDEX(タスク!C$5:C$300,MATCH(SMALL(タスク!$AB$5:$AB$300,ROWS($A$7:A32)),タスク!$AB$5:$AB$300,0))),"")</f>
        <v>当たり判定</v>
      </c>
      <c r="D32" s="53" t="str">
        <f>IFERROR(IF(SMALL(タスク!$AB$5:$AB$300,ROWS($A$7:A32))&gt;=1000000000000,"",INDEX(タスク!D$5:D$300,MATCH(SMALL(タスク!$AB$5:$AB$300,ROWS($A$7:A32)),タスク!$AB$5:$AB$300,0))),"")</f>
        <v>CollisionManagerの管理・接触結果整理</v>
      </c>
      <c r="E32" s="53" t="str">
        <f>IFERROR(IF(SMALL(タスク!$AB$5:$AB$300,ROWS($A$7:A32))&gt;=1000000000000,"",INDEX(タスク!E$5:E$300,MATCH(SMALL(タスク!$AB$5:$AB$300,ROWS($A$7:A32)),タスク!$AB$5:$AB$300,0))),"")</f>
        <v>S</v>
      </c>
      <c r="F32" s="53" t="str">
        <f>IFERROR(IF(SMALL(タスク!$AB$5:$AB$300,ROWS($A$7:A32))&gt;=1000000000000,"",INDEX(タスク!F$5:F$300,MATCH(SMALL(タスク!$AB$5:$AB$300,ROWS($A$7:A32)),タスク!$AB$5:$AB$300,0))),"")</f>
        <v>一部実装</v>
      </c>
      <c r="G32" s="53">
        <f>IFERROR(IF(SMALL(タスク!$AB$5:$AB$300,ROWS($A$7:A32))&gt;=1000000000000,"",INDEX(タスク!G$5:G$300,MATCH(SMALL(タスク!$AB$5:$AB$300,ROWS($A$7:A32)),タスク!$AB$5:$AB$300,0))),"")</f>
        <v>5</v>
      </c>
      <c r="H32" s="53">
        <f>IFERROR(IF(SMALL(タスク!$AB$5:$AB$300,ROWS($A$7:A32))&gt;=1000000000000,"",INDEX(タスク!H$5:H$300,MATCH(SMALL(タスク!$AB$5:$AB$300,ROWS($A$7:A32)),タスク!$AB$5:$AB$300,0))),"")</f>
        <v>0</v>
      </c>
      <c r="I32" s="53" t="str">
        <f>IFERROR(IF(SMALL(タスク!$AB$5:$AB$300,ROWS($A$7:A32))&gt;=1000000000000,"",INDEX(タスク!I$5:I$300,MATCH(SMALL(タスク!$AB$5:$AB$300,ROWS($A$7:A32)),タスク!$AB$5:$AB$300,0))),"")</f>
        <v>CollisionManager.cpp/hあり。判定結果と押し戻しの整理余地</v>
      </c>
      <c r="J32" s="53">
        <f>IFERROR(IF(SMALL(タスク!$AB$5:$AB$300,ROWS($A$7:A32))&gt;=1000000000000,"",INDEX(タスク!J$5:J$300,MATCH(SMALL(タスク!$AB$5:$AB$300,ROWS($A$7:A32)),タスク!$AB$5:$AB$300,0))),"")</f>
        <v>0</v>
      </c>
    </row>
    <row r="33" spans="1:10">
      <c r="A33" s="53" t="str">
        <f>IFERROR(IF(SMALL(タスク!$AB$5:$AB$300,ROWS($A$7:A33))&gt;=1000000000000,"",INDEX(タスク!A$5:A$300,MATCH(SMALL(タスク!$AB$5:$AB$300,ROWS($A$7:A33)),タスク!$AB$5:$AB$300,0))),"")</f>
        <v>T002</v>
      </c>
      <c r="B33" s="53" t="str">
        <f>IFERROR(IF(SMALL(タスク!$AB$5:$AB$300,ROWS($A$7:A33))&gt;=1000000000000,"",INDEX(タスク!B$5:B$300,MATCH(SMALL(タスク!$AB$5:$AB$300,ROWS($A$7:A33)),タスク!$AB$5:$AB$300,0))),"")</f>
        <v>プロト</v>
      </c>
      <c r="C33" s="53" t="str">
        <f>IFERROR(IF(SMALL(タスク!$AB$5:$AB$300,ROWS($A$7:A33))&gt;=1000000000000,"",INDEX(タスク!C$5:C$300,MATCH(SMALL(タスク!$AB$5:$AB$300,ROWS($A$7:A33)),タスク!$AB$5:$AB$300,0))),"")</f>
        <v>当たり判定</v>
      </c>
      <c r="D33" s="53" t="str">
        <f>IFERROR(IF(SMALL(タスク!$AB$5:$AB$300,ROWS($A$7:A33))&gt;=1000000000000,"",INDEX(タスク!D$5:D$300,MATCH(SMALL(タスク!$AB$5:$AB$300,ROWS($A$7:A33)),タスク!$AB$5:$AB$300,0))),"")</f>
        <v>球コライダー判定</v>
      </c>
      <c r="E33" s="53" t="str">
        <f>IFERROR(IF(SMALL(タスク!$AB$5:$AB$300,ROWS($A$7:A33))&gt;=1000000000000,"",INDEX(タスク!E$5:E$300,MATCH(SMALL(タスク!$AB$5:$AB$300,ROWS($A$7:A33)),タスク!$AB$5:$AB$300,0))),"")</f>
        <v>S</v>
      </c>
      <c r="F33" s="53" t="str">
        <f>IFERROR(IF(SMALL(タスク!$AB$5:$AB$300,ROWS($A$7:A33))&gt;=1000000000000,"",INDEX(タスク!F$5:F$300,MATCH(SMALL(タスク!$AB$5:$AB$300,ROWS($A$7:A33)),タスク!$AB$5:$AB$300,0))),"")</f>
        <v>完了</v>
      </c>
      <c r="G33" s="53">
        <f>IFERROR(IF(SMALL(タスク!$AB$5:$AB$300,ROWS($A$7:A33))&gt;=1000000000000,"",INDEX(タスク!G$5:G$300,MATCH(SMALL(タスク!$AB$5:$AB$300,ROWS($A$7:A33)),タスク!$AB$5:$AB$300,0))),"")</f>
        <v>1</v>
      </c>
      <c r="H33" s="53">
        <f>IFERROR(IF(SMALL(タスク!$AB$5:$AB$300,ROWS($A$7:A33))&gt;=1000000000000,"",INDEX(タスク!H$5:H$300,MATCH(SMALL(タスク!$AB$5:$AB$300,ROWS($A$7:A33)),タスク!$AB$5:$AB$300,0))),"")</f>
        <v>1</v>
      </c>
      <c r="I33" s="53" t="str">
        <f>IFERROR(IF(SMALL(タスク!$AB$5:$AB$300,ROWS($A$7:A33))&gt;=1000000000000,"",INDEX(タスク!I$5:I$300,MATCH(SMALL(タスク!$AB$5:$AB$300,ROWS($A$7:A33)),タスク!$AB$5:$AB$300,0))),"")</f>
        <v>SphereCollider.cpp/hあり</v>
      </c>
      <c r="J33" s="53">
        <f>IFERROR(IF(SMALL(タスク!$AB$5:$AB$300,ROWS($A$7:A33))&gt;=1000000000000,"",INDEX(タスク!J$5:J$300,MATCH(SMALL(タスク!$AB$5:$AB$300,ROWS($A$7:A33)),タスク!$AB$5:$AB$300,0))),"")</f>
        <v>0</v>
      </c>
    </row>
    <row r="34" spans="1:10">
      <c r="A34" s="53" t="str">
        <f>IFERROR(IF(SMALL(タスク!$AB$5:$AB$300,ROWS($A$7:A34))&gt;=1000000000000,"",INDEX(タスク!A$5:A$300,MATCH(SMALL(タスク!$AB$5:$AB$300,ROWS($A$7:A34)),タスク!$AB$5:$AB$300,0))),"")</f>
        <v>T003</v>
      </c>
      <c r="B34" s="53" t="str">
        <f>IFERROR(IF(SMALL(タスク!$AB$5:$AB$300,ROWS($A$7:A34))&gt;=1000000000000,"",INDEX(タスク!B$5:B$300,MATCH(SMALL(タスク!$AB$5:$AB$300,ROWS($A$7:A34)),タスク!$AB$5:$AB$300,0))),"")</f>
        <v>プロト</v>
      </c>
      <c r="C34" s="53" t="str">
        <f>IFERROR(IF(SMALL(タスク!$AB$5:$AB$300,ROWS($A$7:A34))&gt;=1000000000000,"",INDEX(タスク!C$5:C$300,MATCH(SMALL(タスク!$AB$5:$AB$300,ROWS($A$7:A34)),タスク!$AB$5:$AB$300,0))),"")</f>
        <v>当たり判定</v>
      </c>
      <c r="D34" s="53" t="str">
        <f>IFERROR(IF(SMALL(タスク!$AB$5:$AB$300,ROWS($A$7:A34))&gt;=1000000000000,"",INDEX(タスク!D$5:D$300,MATCH(SMALL(タスク!$AB$5:$AB$300,ROWS($A$7:A34)),タスク!$AB$5:$AB$300,0))),"")</f>
        <v>カプセルコライダー判定</v>
      </c>
      <c r="E34" s="53" t="str">
        <f>IFERROR(IF(SMALL(タスク!$AB$5:$AB$300,ROWS($A$7:A34))&gt;=1000000000000,"",INDEX(タスク!E$5:E$300,MATCH(SMALL(タスク!$AB$5:$AB$300,ROWS($A$7:A34)),タスク!$AB$5:$AB$300,0))),"")</f>
        <v>S</v>
      </c>
      <c r="F34" s="53" t="str">
        <f>IFERROR(IF(SMALL(タスク!$AB$5:$AB$300,ROWS($A$7:A34))&gt;=1000000000000,"",INDEX(タスク!F$5:F$300,MATCH(SMALL(タスク!$AB$5:$AB$300,ROWS($A$7:A34)),タスク!$AB$5:$AB$300,0))),"")</f>
        <v>完了</v>
      </c>
      <c r="G34" s="53">
        <f>IFERROR(IF(SMALL(タスク!$AB$5:$AB$300,ROWS($A$7:A34))&gt;=1000000000000,"",INDEX(タスク!G$5:G$300,MATCH(SMALL(タスク!$AB$5:$AB$300,ROWS($A$7:A34)),タスク!$AB$5:$AB$300,0))),"")</f>
        <v>2</v>
      </c>
      <c r="H34" s="53">
        <f>IFERROR(IF(SMALL(タスク!$AB$5:$AB$300,ROWS($A$7:A34))&gt;=1000000000000,"",INDEX(タスク!H$5:H$300,MATCH(SMALL(タスク!$AB$5:$AB$300,ROWS($A$7:A34)),タスク!$AB$5:$AB$300,0))),"")</f>
        <v>2</v>
      </c>
      <c r="I34" s="53" t="str">
        <f>IFERROR(IF(SMALL(タスク!$AB$5:$AB$300,ROWS($A$7:A34))&gt;=1000000000000,"",INDEX(タスク!I$5:I$300,MATCH(SMALL(タスク!$AB$5:$AB$300,ROWS($A$7:A34)),タスク!$AB$5:$AB$300,0))),"")</f>
        <v>CapsuleCollider.cpp/h、カプセル判定関数あり</v>
      </c>
      <c r="J34" s="53">
        <f>IFERROR(IF(SMALL(タスク!$AB$5:$AB$300,ROWS($A$7:A34))&gt;=1000000000000,"",INDEX(タスク!J$5:J$300,MATCH(SMALL(タスク!$AB$5:$AB$300,ROWS($A$7:A34)),タスク!$AB$5:$AB$300,0))),"")</f>
        <v>0</v>
      </c>
    </row>
    <row r="35" spans="1:10">
      <c r="A35" s="53" t="str">
        <f>IFERROR(IF(SMALL(タスク!$AB$5:$AB$300,ROWS($A$7:A35))&gt;=1000000000000,"",INDEX(タスク!A$5:A$300,MATCH(SMALL(タスク!$AB$5:$AB$300,ROWS($A$7:A35)),タスク!$AB$5:$AB$300,0))),"")</f>
        <v>T004</v>
      </c>
      <c r="B35" s="53" t="str">
        <f>IFERROR(IF(SMALL(タスク!$AB$5:$AB$300,ROWS($A$7:A35))&gt;=1000000000000,"",INDEX(タスク!B$5:B$300,MATCH(SMALL(タスク!$AB$5:$AB$300,ROWS($A$7:A35)),タスク!$AB$5:$AB$300,0))),"")</f>
        <v>プロト</v>
      </c>
      <c r="C35" s="53" t="str">
        <f>IFERROR(IF(SMALL(タスク!$AB$5:$AB$300,ROWS($A$7:A35))&gt;=1000000000000,"",INDEX(タスク!C$5:C$300,MATCH(SMALL(タスク!$AB$5:$AB$300,ROWS($A$7:A35)),タスク!$AB$5:$AB$300,0))),"")</f>
        <v>当たり判定</v>
      </c>
      <c r="D35" s="53" t="str">
        <f>IFERROR(IF(SMALL(タスク!$AB$5:$AB$300,ROWS($A$7:A35))&gt;=1000000000000,"",INDEX(タスク!D$5:D$300,MATCH(SMALL(タスク!$AB$5:$AB$300,ROWS($A$7:A35)),タスク!$AB$5:$AB$300,0))),"")</f>
        <v>ポリゴンコライダー判定</v>
      </c>
      <c r="E35" s="53" t="str">
        <f>IFERROR(IF(SMALL(タスク!$AB$5:$AB$300,ROWS($A$7:A35))&gt;=1000000000000,"",INDEX(タスク!E$5:E$300,MATCH(SMALL(タスク!$AB$5:$AB$300,ROWS($A$7:A35)),タスク!$AB$5:$AB$300,0))),"")</f>
        <v>S</v>
      </c>
      <c r="F35" s="53" t="str">
        <f>IFERROR(IF(SMALL(タスク!$AB$5:$AB$300,ROWS($A$7:A35))&gt;=1000000000000,"",INDEX(タスク!F$5:F$300,MATCH(SMALL(タスク!$AB$5:$AB$300,ROWS($A$7:A35)),タスク!$AB$5:$AB$300,0))),"")</f>
        <v>完了</v>
      </c>
      <c r="G35" s="53">
        <f>IFERROR(IF(SMALL(タスク!$AB$5:$AB$300,ROWS($A$7:A35))&gt;=1000000000000,"",INDEX(タスク!G$5:G$300,MATCH(SMALL(タスク!$AB$5:$AB$300,ROWS($A$7:A35)),タスク!$AB$5:$AB$300,0))),"")</f>
        <v>5</v>
      </c>
      <c r="H35" s="53">
        <f>IFERROR(IF(SMALL(タスク!$AB$5:$AB$300,ROWS($A$7:A35))&gt;=1000000000000,"",INDEX(タスク!H$5:H$300,MATCH(SMALL(タスク!$AB$5:$AB$300,ROWS($A$7:A35)),タスク!$AB$5:$AB$300,0))),"")</f>
        <v>5</v>
      </c>
      <c r="I35" s="53" t="str">
        <f>IFERROR(IF(SMALL(タスク!$AB$5:$AB$300,ROWS($A$7:A35))&gt;=1000000000000,"",INDEX(タスク!I$5:I$300,MATCH(SMALL(タスク!$AB$5:$AB$300,ROWS($A$7:A35)),タスク!$AB$5:$AB$300,0))),"")</f>
        <v>PolygonCollider.cpp/hあり。押し戻し・床壁分類との統合確認</v>
      </c>
      <c r="J35" s="53">
        <f>IFERROR(IF(SMALL(タスク!$AB$5:$AB$300,ROWS($A$7:A35))&gt;=1000000000000,"",INDEX(タスク!J$5:J$300,MATCH(SMALL(タスク!$AB$5:$AB$300,ROWS($A$7:A35)),タスク!$AB$5:$AB$300,0))),"")</f>
        <v>0</v>
      </c>
    </row>
    <row r="36" spans="1:10">
      <c r="A36" s="53" t="str">
        <f>IFERROR(IF(SMALL(タスク!$AB$5:$AB$300,ROWS($A$7:A36))&gt;=1000000000000,"",INDEX(タスク!A$5:A$300,MATCH(SMALL(タスク!$AB$5:$AB$300,ROWS($A$7:A36)),タスク!$AB$5:$AB$300,0))),"")</f>
        <v>T046</v>
      </c>
      <c r="B36" s="53" t="str">
        <f>IFERROR(IF(SMALL(タスク!$AB$5:$AB$300,ROWS($A$7:A36))&gt;=1000000000000,"",INDEX(タスク!B$5:B$300,MATCH(SMALL(タスク!$AB$5:$AB$300,ROWS($A$7:A36)),タスク!$AB$5:$AB$300,0))),"")</f>
        <v>プロト</v>
      </c>
      <c r="C36" s="53" t="str">
        <f>IFERROR(IF(SMALL(タスク!$AB$5:$AB$300,ROWS($A$7:A36))&gt;=1000000000000,"",INDEX(タスク!C$5:C$300,MATCH(SMALL(タスク!$AB$5:$AB$300,ROWS($A$7:A36)),タスク!$AB$5:$AB$300,0))),"")</f>
        <v>当たり判定</v>
      </c>
      <c r="D36" s="53" t="str">
        <f>IFERROR(IF(SMALL(タスク!$AB$5:$AB$300,ROWS($A$7:A36))&gt;=1000000000000,"",INDEX(タスク!D$5:D$300,MATCH(SMALL(タスク!$AB$5:$AB$300,ROWS($A$7:A36)),タスク!$AB$5:$AB$300,0))),"")</f>
        <v>カプセル対カプセル・線分の接触点/法線検証</v>
      </c>
      <c r="E36" s="53" t="str">
        <f>IFERROR(IF(SMALL(タスク!$AB$5:$AB$300,ROWS($A$7:A36))&gt;=1000000000000,"",INDEX(タスク!E$5:E$300,MATCH(SMALL(タスク!$AB$5:$AB$300,ROWS($A$7:A36)),タスク!$AB$5:$AB$300,0))),"")</f>
        <v>S</v>
      </c>
      <c r="F36" s="53" t="str">
        <f>IFERROR(IF(SMALL(タスク!$AB$5:$AB$300,ROWS($A$7:A36))&gt;=1000000000000,"",INDEX(タスク!F$5:F$300,MATCH(SMALL(タスク!$AB$5:$AB$300,ROWS($A$7:A36)),タスク!$AB$5:$AB$300,0))),"")</f>
        <v>計画追加</v>
      </c>
      <c r="G36" s="53">
        <f>IFERROR(IF(SMALL(タスク!$AB$5:$AB$300,ROWS($A$7:A36))&gt;=1000000000000,"",INDEX(タスク!G$5:G$300,MATCH(SMALL(タスク!$AB$5:$AB$300,ROWS($A$7:A36)),タスク!$AB$5:$AB$300,0))),"")</f>
        <v>6</v>
      </c>
      <c r="H36" s="53">
        <f>IFERROR(IF(SMALL(タスク!$AB$5:$AB$300,ROWS($A$7:A36))&gt;=1000000000000,"",INDEX(タスク!H$5:H$300,MATCH(SMALL(タスク!$AB$5:$AB$300,ROWS($A$7:A36)),タスク!$AB$5:$AB$300,0))),"")</f>
        <v>0</v>
      </c>
      <c r="I36" s="53" t="str">
        <f>IFERROR(IF(SMALL(タスク!$AB$5:$AB$300,ROWS($A$7:A36))&gt;=1000000000000,"",INDEX(タスク!I$5:I$300,MATCH(SMALL(タスク!$AB$5:$AB$300,ROWS($A$7:A36)),タスク!$AB$5:$AB$300,0))),"")</f>
        <v>MyLibの線分判定、CollisionManagerのRayCastを確認</v>
      </c>
      <c r="J36" s="53" t="str">
        <f>IFERROR(IF(SMALL(タスク!$AB$5:$AB$300,ROWS($A$7:A36))&gt;=1000000000000,"",INDEX(タスク!J$5:J$300,MATCH(SMALL(タスク!$AB$5:$AB$300,ROWS($A$7:A36)),タスク!$AB$5:$AB$300,0))),"")</f>
        <v>端点・平行・退化ケースを確認</v>
      </c>
    </row>
    <row r="37" spans="1:10">
      <c r="A37" s="53" t="str">
        <f>IFERROR(IF(SMALL(タスク!$AB$5:$AB$300,ROWS($A$7:A37))&gt;=1000000000000,"",INDEX(タスク!A$5:A$300,MATCH(SMALL(タスク!$AB$5:$AB$300,ROWS($A$7:A37)),タスク!$AB$5:$AB$300,0))),"")</f>
        <v>T047</v>
      </c>
      <c r="B37" s="53" t="str">
        <f>IFERROR(IF(SMALL(タスク!$AB$5:$AB$300,ROWS($A$7:A37))&gt;=1000000000000,"",INDEX(タスク!B$5:B$300,MATCH(SMALL(タスク!$AB$5:$AB$300,ROWS($A$7:A37)),タスク!$AB$5:$AB$300,0))),"")</f>
        <v>プロト</v>
      </c>
      <c r="C37" s="53" t="str">
        <f>IFERROR(IF(SMALL(タスク!$AB$5:$AB$300,ROWS($A$7:A37))&gt;=1000000000000,"",INDEX(タスク!C$5:C$300,MATCH(SMALL(タスク!$AB$5:$AB$300,ROWS($A$7:A37)),タスク!$AB$5:$AB$300,0))),"")</f>
        <v>当たり判定</v>
      </c>
      <c r="D37" s="53" t="str">
        <f>IFERROR(IF(SMALL(タスク!$AB$5:$AB$300,ROWS($A$7:A37))&gt;=1000000000000,"",INDEX(タスク!D$5:D$300,MATCH(SMALL(タスク!$AB$5:$AB$300,ROWS($A$7:A37)),タスク!$AB$5:$AB$300,0))),"")</f>
        <v>床接地・坂道追従・押し戻しの安定化</v>
      </c>
      <c r="E37" s="53" t="str">
        <f>IFERROR(IF(SMALL(タスク!$AB$5:$AB$300,ROWS($A$7:A37))&gt;=1000000000000,"",INDEX(タスク!E$5:E$300,MATCH(SMALL(タスク!$AB$5:$AB$300,ROWS($A$7:A37)),タスク!$AB$5:$AB$300,0))),"")</f>
        <v>S</v>
      </c>
      <c r="F37" s="53" t="str">
        <f>IFERROR(IF(SMALL(タスク!$AB$5:$AB$300,ROWS($A$7:A37))&gt;=1000000000000,"",INDEX(タスク!F$5:F$300,MATCH(SMALL(タスク!$AB$5:$AB$300,ROWS($A$7:A37)),タスク!$AB$5:$AB$300,0))),"")</f>
        <v>計画追加</v>
      </c>
      <c r="G37" s="53">
        <f>IFERROR(IF(SMALL(タスク!$AB$5:$AB$300,ROWS($A$7:A37))&gt;=1000000000000,"",INDEX(タスク!G$5:G$300,MATCH(SMALL(タスク!$AB$5:$AB$300,ROWS($A$7:A37)),タスク!$AB$5:$AB$300,0))),"")</f>
        <v>8</v>
      </c>
      <c r="H37" s="53">
        <f>IFERROR(IF(SMALL(タスク!$AB$5:$AB$300,ROWS($A$7:A37))&gt;=1000000000000,"",INDEX(タスク!H$5:H$300,MATCH(SMALL(タスク!$AB$5:$AB$300,ROWS($A$7:A37)),タスク!$AB$5:$AB$300,0))),"")</f>
        <v>0</v>
      </c>
      <c r="I37" s="53" t="str">
        <f>IFERROR(IF(SMALL(タスク!$AB$5:$AB$300,ROWS($A$7:A37))&gt;=1000000000000,"",INDEX(タスク!I$5:I$300,MATCH(SMALL(タスク!$AB$5:$AB$300,ROWS($A$7:A37)),タスク!$AB$5:$AB$300,0))),"")</f>
        <v>Physics.cppとPolygonColliderあり</v>
      </c>
      <c r="J37" s="53" t="str">
        <f>IFERROR(IF(SMALL(タスク!$AB$5:$AB$300,ROWS($A$7:A37))&gt;=1000000000000,"",INDEX(タスク!J$5:J$300,MATCH(SMALL(タスク!$AB$5:$AB$300,ROWS($A$7:A37)),タスク!$AB$5:$AB$300,0))),"")</f>
        <v>坂、壁際、段差、連続接触を検証</v>
      </c>
    </row>
    <row r="38" spans="1:10">
      <c r="A38" s="53" t="str">
        <f>IFERROR(IF(SMALL(タスク!$AB$5:$AB$300,ROWS($A$7:A38))&gt;=1000000000000,"",INDEX(タスク!A$5:A$300,MATCH(SMALL(タスク!$AB$5:$AB$300,ROWS($A$7:A38)),タスク!$AB$5:$AB$300,0))),"")</f>
        <v>T053</v>
      </c>
      <c r="B38" s="53" t="str">
        <f>IFERROR(IF(SMALL(タスク!$AB$5:$AB$300,ROWS($A$7:A38))&gt;=1000000000000,"",INDEX(タスク!B$5:B$300,MATCH(SMALL(タスク!$AB$5:$AB$300,ROWS($A$7:A38)),タスク!$AB$5:$AB$300,0))),"")</f>
        <v>アルファ</v>
      </c>
      <c r="C38" s="53" t="str">
        <f>IFERROR(IF(SMALL(タスク!$AB$5:$AB$300,ROWS($A$7:A38))&gt;=1000000000000,"",INDEX(タスク!C$5:C$300,MATCH(SMALL(タスク!$AB$5:$AB$300,ROWS($A$7:A38)),タスク!$AB$5:$AB$300,0))),"")</f>
        <v>UI</v>
      </c>
      <c r="D38" s="53" t="str">
        <f>IFERROR(IF(SMALL(タスク!$AB$5:$AB$300,ROWS($A$7:A38))&gt;=1000000000000,"",INDEX(タスク!D$5:D$300,MATCH(SMALL(タスク!$AB$5:$AB$300,ROWS($A$7:A38)),タスク!$AB$5:$AB$300,0))),"")</f>
        <v>HP・照準・ハッキング状態のHUD統合</v>
      </c>
      <c r="E38" s="53" t="str">
        <f>IFERROR(IF(SMALL(タスク!$AB$5:$AB$300,ROWS($A$7:A38))&gt;=1000000000000,"",INDEX(タスク!E$5:E$300,MATCH(SMALL(タスク!$AB$5:$AB$300,ROWS($A$7:A38)),タスク!$AB$5:$AB$300,0))),"")</f>
        <v>S</v>
      </c>
      <c r="F38" s="53" t="str">
        <f>IFERROR(IF(SMALL(タスク!$AB$5:$AB$300,ROWS($A$7:A38))&gt;=1000000000000,"",INDEX(タスク!F$5:F$300,MATCH(SMALL(タスク!$AB$5:$AB$300,ROWS($A$7:A38)),タスク!$AB$5:$AB$300,0))),"")</f>
        <v>計画追加</v>
      </c>
      <c r="G38" s="53">
        <f>IFERROR(IF(SMALL(タスク!$AB$5:$AB$300,ROWS($A$7:A38))&gt;=1000000000000,"",INDEX(タスク!G$5:G$300,MATCH(SMALL(タスク!$AB$5:$AB$300,ROWS($A$7:A38)),タスク!$AB$5:$AB$300,0))),"")</f>
        <v>8</v>
      </c>
      <c r="H38" s="53">
        <f>IFERROR(IF(SMALL(タスク!$AB$5:$AB$300,ROWS($A$7:A38))&gt;=1000000000000,"",INDEX(タスク!H$5:H$300,MATCH(SMALL(タスク!$AB$5:$AB$300,ROWS($A$7:A38)),タスク!$AB$5:$AB$300,0))),"")</f>
        <v>0</v>
      </c>
      <c r="I38" s="53" t="str">
        <f>IFERROR(IF(SMALL(タスク!$AB$5:$AB$300,ROWS($A$7:A38))&gt;=1000000000000,"",INDEX(タスク!I$5:I$300,MATCH(SMALL(タスク!$AB$5:$AB$300,ROWS($A$7:A38)),タスク!$AB$5:$AB$300,0))),"")</f>
        <v>UIManager/EnemyHPUI/HackingTargetUIあり。Player HUDを追加</v>
      </c>
      <c r="J38" s="53">
        <f>IFERROR(IF(SMALL(タスク!$AB$5:$AB$300,ROWS($A$7:A38))&gt;=1000000000000,"",INDEX(タスク!J$5:J$300,MATCH(SMALL(タスク!$AB$5:$AB$300,ROWS($A$7:A38)),タスク!$AB$5:$AB$300,0))),"")</f>
        <v>0</v>
      </c>
    </row>
    <row r="39" spans="1:10">
      <c r="A39" s="53" t="str">
        <f>IFERROR(IF(SMALL(タスク!$AB$5:$AB$300,ROWS($A$7:A39))&gt;=1000000000000,"",INDEX(タスク!A$5:A$300,MATCH(SMALL(タスク!$AB$5:$AB$300,ROWS($A$7:A39)),タスク!$AB$5:$AB$300,0))),"")</f>
        <v>T040</v>
      </c>
      <c r="B39" s="53" t="str">
        <f>IFERROR(IF(SMALL(タスク!$AB$5:$AB$300,ROWS($A$7:A39))&gt;=1000000000000,"",INDEX(タスク!B$5:B$300,MATCH(SMALL(タスク!$AB$5:$AB$300,ROWS($A$7:A39)),タスク!$AB$5:$AB$300,0))),"")</f>
        <v>アルファ</v>
      </c>
      <c r="C39" s="53" t="str">
        <f>IFERROR(IF(SMALL(タスク!$AB$5:$AB$300,ROWS($A$7:A39))&gt;=1000000000000,"",INDEX(タスク!C$5:C$300,MATCH(SMALL(タスク!$AB$5:$AB$300,ROWS($A$7:A39)),タスク!$AB$5:$AB$300,0))),"")</f>
        <v>シーン</v>
      </c>
      <c r="D39" s="53" t="str">
        <f>IFERROR(IF(SMALL(タスク!$AB$5:$AB$300,ROWS($A$7:A39))&gt;=1000000000000,"",INDEX(タスク!D$5:D$300,MATCH(SMALL(タスク!$AB$5:$AB$300,ROWS($A$7:A39)),タスク!$AB$5:$AB$300,0))),"")</f>
        <v>タイトル</v>
      </c>
      <c r="E39" s="53" t="str">
        <f>IFERROR(IF(SMALL(タスク!$AB$5:$AB$300,ROWS($A$7:A39))&gt;=1000000000000,"",INDEX(タスク!E$5:E$300,MATCH(SMALL(タスク!$AB$5:$AB$300,ROWS($A$7:A39)),タスク!$AB$5:$AB$300,0))),"")</f>
        <v>S</v>
      </c>
      <c r="F39" s="53" t="str">
        <f>IFERROR(IF(SMALL(タスク!$AB$5:$AB$300,ROWS($A$7:A39))&gt;=1000000000000,"",INDEX(タスク!F$5:F$300,MATCH(SMALL(タスク!$AB$5:$AB$300,ROWS($A$7:A39)),タスク!$AB$5:$AB$300,0))),"")</f>
        <v>未着手</v>
      </c>
      <c r="G39" s="53">
        <f>IFERROR(IF(SMALL(タスク!$AB$5:$AB$300,ROWS($A$7:A39))&gt;=1000000000000,"",INDEX(タスク!G$5:G$300,MATCH(SMALL(タスク!$AB$5:$AB$300,ROWS($A$7:A39)),タスク!$AB$5:$AB$300,0))),"")</f>
        <v>3</v>
      </c>
      <c r="H39" s="53">
        <f>IFERROR(IF(SMALL(タスク!$AB$5:$AB$300,ROWS($A$7:A39))&gt;=1000000000000,"",INDEX(タスク!H$5:H$300,MATCH(SMALL(タスク!$AB$5:$AB$300,ROWS($A$7:A39)),タスク!$AB$5:$AB$300,0))),"")</f>
        <v>0</v>
      </c>
      <c r="I39" s="53" t="str">
        <f>IFERROR(IF(SMALL(タスク!$AB$5:$AB$300,ROWS($A$7:A39))&gt;=1000000000000,"",INDEX(タスク!I$5:I$300,MATCH(SMALL(タスク!$AB$5:$AB$300,ROWS($A$7:A39)),タスク!$AB$5:$AB$300,0))),"")</f>
        <v>元表の項目</v>
      </c>
      <c r="J39" s="53">
        <f>IFERROR(IF(SMALL(タスク!$AB$5:$AB$300,ROWS($A$7:A39))&gt;=1000000000000,"",INDEX(タスク!J$5:J$300,MATCH(SMALL(タスク!$AB$5:$AB$300,ROWS($A$7:A39)),タスク!$AB$5:$AB$300,0))),"")</f>
        <v>0</v>
      </c>
    </row>
    <row r="40" spans="1:10">
      <c r="A40" s="53" t="str">
        <f>IFERROR(IF(SMALL(タスク!$AB$5:$AB$300,ROWS($A$7:A40))&gt;=1000000000000,"",INDEX(タスク!A$5:A$300,MATCH(SMALL(タスク!$AB$5:$AB$300,ROWS($A$7:A40)),タスク!$AB$5:$AB$300,0))),"")</f>
        <v>T041</v>
      </c>
      <c r="B40" s="53" t="str">
        <f>IFERROR(IF(SMALL(タスク!$AB$5:$AB$300,ROWS($A$7:A40))&gt;=1000000000000,"",INDEX(タスク!B$5:B$300,MATCH(SMALL(タスク!$AB$5:$AB$300,ROWS($A$7:A40)),タスク!$AB$5:$AB$300,0))),"")</f>
        <v>アルファ</v>
      </c>
      <c r="C40" s="53" t="str">
        <f>IFERROR(IF(SMALL(タスク!$AB$5:$AB$300,ROWS($A$7:A40))&gt;=1000000000000,"",INDEX(タスク!C$5:C$300,MATCH(SMALL(タスク!$AB$5:$AB$300,ROWS($A$7:A40)),タスク!$AB$5:$AB$300,0))),"")</f>
        <v>シーン</v>
      </c>
      <c r="D40" s="53" t="str">
        <f>IFERROR(IF(SMALL(タスク!$AB$5:$AB$300,ROWS($A$7:A40))&gt;=1000000000000,"",INDEX(タスク!D$5:D$300,MATCH(SMALL(タスク!$AB$5:$AB$300,ROWS($A$7:A40)),タスク!$AB$5:$AB$300,0))),"")</f>
        <v>クリア</v>
      </c>
      <c r="E40" s="53" t="str">
        <f>IFERROR(IF(SMALL(タスク!$AB$5:$AB$300,ROWS($A$7:A40))&gt;=1000000000000,"",INDEX(タスク!E$5:E$300,MATCH(SMALL(タスク!$AB$5:$AB$300,ROWS($A$7:A40)),タスク!$AB$5:$AB$300,0))),"")</f>
        <v>S</v>
      </c>
      <c r="F40" s="53" t="str">
        <f>IFERROR(IF(SMALL(タスク!$AB$5:$AB$300,ROWS($A$7:A40))&gt;=1000000000000,"",INDEX(タスク!F$5:F$300,MATCH(SMALL(タスク!$AB$5:$AB$300,ROWS($A$7:A40)),タスク!$AB$5:$AB$300,0))),"")</f>
        <v>未着手</v>
      </c>
      <c r="G40" s="53">
        <f>IFERROR(IF(SMALL(タスク!$AB$5:$AB$300,ROWS($A$7:A40))&gt;=1000000000000,"",INDEX(タスク!G$5:G$300,MATCH(SMALL(タスク!$AB$5:$AB$300,ROWS($A$7:A40)),タスク!$AB$5:$AB$300,0))),"")</f>
        <v>3</v>
      </c>
      <c r="H40" s="53">
        <f>IFERROR(IF(SMALL(タスク!$AB$5:$AB$300,ROWS($A$7:A40))&gt;=1000000000000,"",INDEX(タスク!H$5:H$300,MATCH(SMALL(タスク!$AB$5:$AB$300,ROWS($A$7:A40)),タスク!$AB$5:$AB$300,0))),"")</f>
        <v>0</v>
      </c>
      <c r="I40" s="53" t="str">
        <f>IFERROR(IF(SMALL(タスク!$AB$5:$AB$300,ROWS($A$7:A40))&gt;=1000000000000,"",INDEX(タスク!I$5:I$300,MATCH(SMALL(タスク!$AB$5:$AB$300,ROWS($A$7:A40)),タスク!$AB$5:$AB$300,0))),"")</f>
        <v>元表の項目</v>
      </c>
      <c r="J40" s="53">
        <f>IFERROR(IF(SMALL(タスク!$AB$5:$AB$300,ROWS($A$7:A40))&gt;=1000000000000,"",INDEX(タスク!J$5:J$300,MATCH(SMALL(タスク!$AB$5:$AB$300,ROWS($A$7:A40)),タスク!$AB$5:$AB$300,0))),"")</f>
        <v>0</v>
      </c>
    </row>
    <row r="41" spans="1:10">
      <c r="A41" s="53" t="str">
        <f>IFERROR(IF(SMALL(タスク!$AB$5:$AB$300,ROWS($A$7:A41))&gt;=1000000000000,"",INDEX(タスク!A$5:A$300,MATCH(SMALL(タスク!$AB$5:$AB$300,ROWS($A$7:A41)),タスク!$AB$5:$AB$300,0))),"")</f>
        <v>T042</v>
      </c>
      <c r="B41" s="53" t="str">
        <f>IFERROR(IF(SMALL(タスク!$AB$5:$AB$300,ROWS($A$7:A41))&gt;=1000000000000,"",INDEX(タスク!B$5:B$300,MATCH(SMALL(タスク!$AB$5:$AB$300,ROWS($A$7:A41)),タスク!$AB$5:$AB$300,0))),"")</f>
        <v>アルファ</v>
      </c>
      <c r="C41" s="53" t="str">
        <f>IFERROR(IF(SMALL(タスク!$AB$5:$AB$300,ROWS($A$7:A41))&gt;=1000000000000,"",INDEX(タスク!C$5:C$300,MATCH(SMALL(タスク!$AB$5:$AB$300,ROWS($A$7:A41)),タスク!$AB$5:$AB$300,0))),"")</f>
        <v>シーン</v>
      </c>
      <c r="D41" s="53" t="str">
        <f>IFERROR(IF(SMALL(タスク!$AB$5:$AB$300,ROWS($A$7:A41))&gt;=1000000000000,"",INDEX(タスク!D$5:D$300,MATCH(SMALL(タスク!$AB$5:$AB$300,ROWS($A$7:A41)),タスク!$AB$5:$AB$300,0))),"")</f>
        <v>ゲームオーバー</v>
      </c>
      <c r="E41" s="53" t="str">
        <f>IFERROR(IF(SMALL(タスク!$AB$5:$AB$300,ROWS($A$7:A41))&gt;=1000000000000,"",INDEX(タスク!E$5:E$300,MATCH(SMALL(タスク!$AB$5:$AB$300,ROWS($A$7:A41)),タスク!$AB$5:$AB$300,0))),"")</f>
        <v>S</v>
      </c>
      <c r="F41" s="53" t="str">
        <f>IFERROR(IF(SMALL(タスク!$AB$5:$AB$300,ROWS($A$7:A41))&gt;=1000000000000,"",INDEX(タスク!F$5:F$300,MATCH(SMALL(タスク!$AB$5:$AB$300,ROWS($A$7:A41)),タスク!$AB$5:$AB$300,0))),"")</f>
        <v>未着手</v>
      </c>
      <c r="G41" s="53">
        <f>IFERROR(IF(SMALL(タスク!$AB$5:$AB$300,ROWS($A$7:A41))&gt;=1000000000000,"",INDEX(タスク!G$5:G$300,MATCH(SMALL(タスク!$AB$5:$AB$300,ROWS($A$7:A41)),タスク!$AB$5:$AB$300,0))),"")</f>
        <v>3</v>
      </c>
      <c r="H41" s="53">
        <f>IFERROR(IF(SMALL(タスク!$AB$5:$AB$300,ROWS($A$7:A41))&gt;=1000000000000,"",INDEX(タスク!H$5:H$300,MATCH(SMALL(タスク!$AB$5:$AB$300,ROWS($A$7:A41)),タスク!$AB$5:$AB$300,0))),"")</f>
        <v>0</v>
      </c>
      <c r="I41" s="53" t="str">
        <f>IFERROR(IF(SMALL(タスク!$AB$5:$AB$300,ROWS($A$7:A41))&gt;=1000000000000,"",INDEX(タスク!I$5:I$300,MATCH(SMALL(タスク!$AB$5:$AB$300,ROWS($A$7:A41)),タスク!$AB$5:$AB$300,0))),"")</f>
        <v>元表の項目</v>
      </c>
      <c r="J41" s="53">
        <f>IFERROR(IF(SMALL(タスク!$AB$5:$AB$300,ROWS($A$7:A41))&gt;=1000000000000,"",INDEX(タスク!J$5:J$300,MATCH(SMALL(タスク!$AB$5:$AB$300,ROWS($A$7:A41)),タスク!$AB$5:$AB$300,0))),"")</f>
        <v>0</v>
      </c>
    </row>
    <row r="42" spans="1:10">
      <c r="A42" s="53" t="str">
        <f>IFERROR(IF(SMALL(タスク!$AB$5:$AB$300,ROWS($A$7:A42))&gt;=1000000000000,"",INDEX(タスク!A$5:A$300,MATCH(SMALL(タスク!$AB$5:$AB$300,ROWS($A$7:A42)),タスク!$AB$5:$AB$300,0))),"")</f>
        <v>T043</v>
      </c>
      <c r="B42" s="53" t="str">
        <f>IFERROR(IF(SMALL(タスク!$AB$5:$AB$300,ROWS($A$7:A42))&gt;=1000000000000,"",INDEX(タスク!B$5:B$300,MATCH(SMALL(タスク!$AB$5:$AB$300,ROWS($A$7:A42)),タスク!$AB$5:$AB$300,0))),"")</f>
        <v>アルファ</v>
      </c>
      <c r="C42" s="53" t="str">
        <f>IFERROR(IF(SMALL(タスク!$AB$5:$AB$300,ROWS($A$7:A42))&gt;=1000000000000,"",INDEX(タスク!C$5:C$300,MATCH(SMALL(タスク!$AB$5:$AB$300,ROWS($A$7:A42)),タスク!$AB$5:$AB$300,0))),"")</f>
        <v>シーン</v>
      </c>
      <c r="D42" s="53" t="str">
        <f>IFERROR(IF(SMALL(タスク!$AB$5:$AB$300,ROWS($A$7:A42))&gt;=1000000000000,"",INDEX(タスク!D$5:D$300,MATCH(SMALL(タスク!$AB$5:$AB$300,ROWS($A$7:A42)),タスク!$AB$5:$AB$300,0))),"")</f>
        <v>ステージセレクト</v>
      </c>
      <c r="E42" s="53" t="str">
        <f>IFERROR(IF(SMALL(タスク!$AB$5:$AB$300,ROWS($A$7:A42))&gt;=1000000000000,"",INDEX(タスク!E$5:E$300,MATCH(SMALL(タスク!$AB$5:$AB$300,ROWS($A$7:A42)),タスク!$AB$5:$AB$300,0))),"")</f>
        <v>S</v>
      </c>
      <c r="F42" s="53" t="str">
        <f>IFERROR(IF(SMALL(タスク!$AB$5:$AB$300,ROWS($A$7:A42))&gt;=1000000000000,"",INDEX(タスク!F$5:F$300,MATCH(SMALL(タスク!$AB$5:$AB$300,ROWS($A$7:A42)),タスク!$AB$5:$AB$300,0))),"")</f>
        <v>未着手</v>
      </c>
      <c r="G42" s="53">
        <f>IFERROR(IF(SMALL(タスク!$AB$5:$AB$300,ROWS($A$7:A42))&gt;=1000000000000,"",INDEX(タスク!G$5:G$300,MATCH(SMALL(タスク!$AB$5:$AB$300,ROWS($A$7:A42)),タスク!$AB$5:$AB$300,0))),"")</f>
        <v>3</v>
      </c>
      <c r="H42" s="53">
        <f>IFERROR(IF(SMALL(タスク!$AB$5:$AB$300,ROWS($A$7:A42))&gt;=1000000000000,"",INDEX(タスク!H$5:H$300,MATCH(SMALL(タスク!$AB$5:$AB$300,ROWS($A$7:A42)),タスク!$AB$5:$AB$300,0))),"")</f>
        <v>0</v>
      </c>
      <c r="I42" s="53" t="str">
        <f>IFERROR(IF(SMALL(タスク!$AB$5:$AB$300,ROWS($A$7:A42))&gt;=1000000000000,"",INDEX(タスク!I$5:I$300,MATCH(SMALL(タスク!$AB$5:$AB$300,ROWS($A$7:A42)),タスク!$AB$5:$AB$300,0))),"")</f>
        <v>元表の項目</v>
      </c>
      <c r="J42" s="53">
        <f>IFERROR(IF(SMALL(タスク!$AB$5:$AB$300,ROWS($A$7:A42))&gt;=1000000000000,"",INDEX(タスク!J$5:J$300,MATCH(SMALL(タスク!$AB$5:$AB$300,ROWS($A$7:A42)),タスク!$AB$5:$AB$300,0))),"")</f>
        <v>0</v>
      </c>
    </row>
    <row r="43" spans="1:10">
      <c r="A43" s="53" t="str">
        <f>IFERROR(IF(SMALL(タスク!$AB$5:$AB$300,ROWS($A$7:A43))&gt;=1000000000000,"",INDEX(タスク!A$5:A$300,MATCH(SMALL(タスク!$AB$5:$AB$300,ROWS($A$7:A43)),タスク!$AB$5:$AB$300,0))),"")</f>
        <v>T044</v>
      </c>
      <c r="B43" s="53" t="str">
        <f>IFERROR(IF(SMALL(タスク!$AB$5:$AB$300,ROWS($A$7:A43))&gt;=1000000000000,"",INDEX(タスク!B$5:B$300,MATCH(SMALL(タスク!$AB$5:$AB$300,ROWS($A$7:A43)),タスク!$AB$5:$AB$300,0))),"")</f>
        <v>アルファ</v>
      </c>
      <c r="C43" s="53" t="str">
        <f>IFERROR(IF(SMALL(タスク!$AB$5:$AB$300,ROWS($A$7:A43))&gt;=1000000000000,"",INDEX(タスク!C$5:C$300,MATCH(SMALL(タスク!$AB$5:$AB$300,ROWS($A$7:A43)),タスク!$AB$5:$AB$300,0))),"")</f>
        <v>シーン</v>
      </c>
      <c r="D43" s="53" t="str">
        <f>IFERROR(IF(SMALL(タスク!$AB$5:$AB$300,ROWS($A$7:A43))&gt;=1000000000000,"",INDEX(タスク!D$5:D$300,MATCH(SMALL(タスク!$AB$5:$AB$300,ROWS($A$7:A43)),タスク!$AB$5:$AB$300,0))),"")</f>
        <v>ポーズ</v>
      </c>
      <c r="E43" s="53" t="str">
        <f>IFERROR(IF(SMALL(タスク!$AB$5:$AB$300,ROWS($A$7:A43))&gt;=1000000000000,"",INDEX(タスク!E$5:E$300,MATCH(SMALL(タスク!$AB$5:$AB$300,ROWS($A$7:A43)),タスク!$AB$5:$AB$300,0))),"")</f>
        <v>S</v>
      </c>
      <c r="F43" s="53" t="str">
        <f>IFERROR(IF(SMALL(タスク!$AB$5:$AB$300,ROWS($A$7:A43))&gt;=1000000000000,"",INDEX(タスク!F$5:F$300,MATCH(SMALL(タスク!$AB$5:$AB$300,ROWS($A$7:A43)),タスク!$AB$5:$AB$300,0))),"")</f>
        <v>未着手</v>
      </c>
      <c r="G43" s="53">
        <f>IFERROR(IF(SMALL(タスク!$AB$5:$AB$300,ROWS($A$7:A43))&gt;=1000000000000,"",INDEX(タスク!G$5:G$300,MATCH(SMALL(タスク!$AB$5:$AB$300,ROWS($A$7:A43)),タスク!$AB$5:$AB$300,0))),"")</f>
        <v>3</v>
      </c>
      <c r="H43" s="53">
        <f>IFERROR(IF(SMALL(タスク!$AB$5:$AB$300,ROWS($A$7:A43))&gt;=1000000000000,"",INDEX(タスク!H$5:H$300,MATCH(SMALL(タスク!$AB$5:$AB$300,ROWS($A$7:A43)),タスク!$AB$5:$AB$300,0))),"")</f>
        <v>0</v>
      </c>
      <c r="I43" s="53" t="str">
        <f>IFERROR(IF(SMALL(タスク!$AB$5:$AB$300,ROWS($A$7:A43))&gt;=1000000000000,"",INDEX(タスク!I$5:I$300,MATCH(SMALL(タスク!$AB$5:$AB$300,ROWS($A$7:A43)),タスク!$AB$5:$AB$300,0))),"")</f>
        <v>元表の項目</v>
      </c>
      <c r="J43" s="53">
        <f>IFERROR(IF(SMALL(タスク!$AB$5:$AB$300,ROWS($A$7:A43))&gt;=1000000000000,"",INDEX(タスク!J$5:J$300,MATCH(SMALL(タスク!$AB$5:$AB$300,ROWS($A$7:A43)),タスク!$AB$5:$AB$300,0))),"")</f>
        <v>0</v>
      </c>
    </row>
    <row r="44" spans="1:10">
      <c r="A44" s="53" t="str">
        <f>IFERROR(IF(SMALL(タスク!$AB$5:$AB$300,ROWS($A$7:A44))&gt;=1000000000000,"",INDEX(タスク!A$5:A$300,MATCH(SMALL(タスク!$AB$5:$AB$300,ROWS($A$7:A44)),タスク!$AB$5:$AB$300,0))),"")</f>
        <v>T045</v>
      </c>
      <c r="B44" s="53" t="str">
        <f>IFERROR(IF(SMALL(タスク!$AB$5:$AB$300,ROWS($A$7:A44))&gt;=1000000000000,"",INDEX(タスク!B$5:B$300,MATCH(SMALL(タスク!$AB$5:$AB$300,ROWS($A$7:A44)),タスク!$AB$5:$AB$300,0))),"")</f>
        <v>アルファ</v>
      </c>
      <c r="C44" s="53" t="str">
        <f>IFERROR(IF(SMALL(タスク!$AB$5:$AB$300,ROWS($A$7:A44))&gt;=1000000000000,"",INDEX(タスク!C$5:C$300,MATCH(SMALL(タスク!$AB$5:$AB$300,ROWS($A$7:A44)),タスク!$AB$5:$AB$300,0))),"")</f>
        <v>シーン</v>
      </c>
      <c r="D44" s="53" t="str">
        <f>IFERROR(IF(SMALL(タスク!$AB$5:$AB$300,ROWS($A$7:A44))&gt;=1000000000000,"",INDEX(タスク!D$5:D$300,MATCH(SMALL(タスク!$AB$5:$AB$300,ROWS($A$7:A44)),タスク!$AB$5:$AB$300,0))),"")</f>
        <v>オプション</v>
      </c>
      <c r="E44" s="53" t="str">
        <f>IFERROR(IF(SMALL(タスク!$AB$5:$AB$300,ROWS($A$7:A44))&gt;=1000000000000,"",INDEX(タスク!E$5:E$300,MATCH(SMALL(タスク!$AB$5:$AB$300,ROWS($A$7:A44)),タスク!$AB$5:$AB$300,0))),"")</f>
        <v>A</v>
      </c>
      <c r="F44" s="53" t="str">
        <f>IFERROR(IF(SMALL(タスク!$AB$5:$AB$300,ROWS($A$7:A44))&gt;=1000000000000,"",INDEX(タスク!F$5:F$300,MATCH(SMALL(タスク!$AB$5:$AB$300,ROWS($A$7:A44)),タスク!$AB$5:$AB$300,0))),"")</f>
        <v>未着手</v>
      </c>
      <c r="G44" s="53">
        <f>IFERROR(IF(SMALL(タスク!$AB$5:$AB$300,ROWS($A$7:A44))&gt;=1000000000000,"",INDEX(タスク!G$5:G$300,MATCH(SMALL(タスク!$AB$5:$AB$300,ROWS($A$7:A44)),タスク!$AB$5:$AB$300,0))),"")</f>
        <v>5</v>
      </c>
      <c r="H44" s="53">
        <f>IFERROR(IF(SMALL(タスク!$AB$5:$AB$300,ROWS($A$7:A44))&gt;=1000000000000,"",INDEX(タスク!H$5:H$300,MATCH(SMALL(タスク!$AB$5:$AB$300,ROWS($A$7:A44)),タスク!$AB$5:$AB$300,0))),"")</f>
        <v>0</v>
      </c>
      <c r="I44" s="53" t="str">
        <f>IFERROR(IF(SMALL(タスク!$AB$5:$AB$300,ROWS($A$7:A44))&gt;=1000000000000,"",INDEX(タスク!I$5:I$300,MATCH(SMALL(タスク!$AB$5:$AB$300,ROWS($A$7:A44)),タスク!$AB$5:$AB$300,0))),"")</f>
        <v>元表の項目</v>
      </c>
      <c r="J44" s="53">
        <f>IFERROR(IF(SMALL(タスク!$AB$5:$AB$300,ROWS($A$7:A44))&gt;=1000000000000,"",INDEX(タスク!J$5:J$300,MATCH(SMALL(タスク!$AB$5:$AB$300,ROWS($A$7:A44)),タスク!$AB$5:$AB$300,0))),"")</f>
        <v>0</v>
      </c>
    </row>
    <row r="45" spans="1:10">
      <c r="A45" s="53" t="str">
        <f>IFERROR(IF(SMALL(タスク!$AB$5:$AB$300,ROWS($A$7:A45))&gt;=1000000000000,"",INDEX(タスク!A$5:A$300,MATCH(SMALL(タスク!$AB$5:$AB$300,ROWS($A$7:A45)),タスク!$AB$5:$AB$300,0))),"")</f>
        <v>T026</v>
      </c>
      <c r="B45" s="53" t="str">
        <f>IFERROR(IF(SMALL(タスク!$AB$5:$AB$300,ROWS($A$7:A45))&gt;=1000000000000,"",INDEX(タスク!B$5:B$300,MATCH(SMALL(タスク!$AB$5:$AB$300,ROWS($A$7:A45)),タスク!$AB$5:$AB$300,0))),"")</f>
        <v>アルファ</v>
      </c>
      <c r="C45" s="53" t="str">
        <f>IFERROR(IF(SMALL(タスク!$AB$5:$AB$300,ROWS($A$7:A45))&gt;=1000000000000,"",INDEX(タスク!C$5:C$300,MATCH(SMALL(タスク!$AB$5:$AB$300,ROWS($A$7:A45)),タスク!$AB$5:$AB$300,0))),"")</f>
        <v>ステージ</v>
      </c>
      <c r="D45" s="53" t="str">
        <f>IFERROR(IF(SMALL(タスク!$AB$5:$AB$300,ROWS($A$7:A45))&gt;=1000000000000,"",INDEX(タスク!D$5:D$300,MATCH(SMALL(タスク!$AB$5:$AB$300,ROWS($A$7:A45)),タスク!$AB$5:$AB$300,0))),"")</f>
        <v>ステージ2</v>
      </c>
      <c r="E45" s="53" t="str">
        <f>IFERROR(IF(SMALL(タスク!$AB$5:$AB$300,ROWS($A$7:A45))&gt;=1000000000000,"",INDEX(タスク!E$5:E$300,MATCH(SMALL(タスク!$AB$5:$AB$300,ROWS($A$7:A45)),タスク!$AB$5:$AB$300,0))),"")</f>
        <v>A</v>
      </c>
      <c r="F45" s="53" t="str">
        <f>IFERROR(IF(SMALL(タスク!$AB$5:$AB$300,ROWS($A$7:A45))&gt;=1000000000000,"",INDEX(タスク!F$5:F$300,MATCH(SMALL(タスク!$AB$5:$AB$300,ROWS($A$7:A45)),タスク!$AB$5:$AB$300,0))),"")</f>
        <v>未着手</v>
      </c>
      <c r="G45" s="53">
        <f>IFERROR(IF(SMALL(タスク!$AB$5:$AB$300,ROWS($A$7:A45))&gt;=1000000000000,"",INDEX(タスク!G$5:G$300,MATCH(SMALL(タスク!$AB$5:$AB$300,ROWS($A$7:A45)),タスク!$AB$5:$AB$300,0))),"")</f>
        <v>10</v>
      </c>
      <c r="H45" s="53">
        <f>IFERROR(IF(SMALL(タスク!$AB$5:$AB$300,ROWS($A$7:A45))&gt;=1000000000000,"",INDEX(タスク!H$5:H$300,MATCH(SMALL(タスク!$AB$5:$AB$300,ROWS($A$7:A45)),タスク!$AB$5:$AB$300,0))),"")</f>
        <v>0</v>
      </c>
      <c r="I45" s="53" t="str">
        <f>IFERROR(IF(SMALL(タスク!$AB$5:$AB$300,ROWS($A$7:A45))&gt;=1000000000000,"",INDEX(タスク!I$5:I$300,MATCH(SMALL(タスク!$AB$5:$AB$300,ROWS($A$7:A45)),タスク!$AB$5:$AB$300,0))),"")</f>
        <v>元表の項目</v>
      </c>
      <c r="J45" s="53">
        <f>IFERROR(IF(SMALL(タスク!$AB$5:$AB$300,ROWS($A$7:A45))&gt;=1000000000000,"",INDEX(タスク!J$5:J$300,MATCH(SMALL(タスク!$AB$5:$AB$300,ROWS($A$7:A45)),タスク!$AB$5:$AB$300,0))),"")</f>
        <v>0</v>
      </c>
    </row>
    <row r="46" spans="1:10">
      <c r="A46" s="53" t="str">
        <f>IFERROR(IF(SMALL(タスク!$AB$5:$AB$300,ROWS($A$7:A46))&gt;=1000000000000,"",INDEX(タスク!A$5:A$300,MATCH(SMALL(タスク!$AB$5:$AB$300,ROWS($A$7:A46)),タスク!$AB$5:$AB$300,0))),"")</f>
        <v>T027</v>
      </c>
      <c r="B46" s="53" t="str">
        <f>IFERROR(IF(SMALL(タスク!$AB$5:$AB$300,ROWS($A$7:A46))&gt;=1000000000000,"",INDEX(タスク!B$5:B$300,MATCH(SMALL(タスク!$AB$5:$AB$300,ROWS($A$7:A46)),タスク!$AB$5:$AB$300,0))),"")</f>
        <v>アルファ</v>
      </c>
      <c r="C46" s="53" t="str">
        <f>IFERROR(IF(SMALL(タスク!$AB$5:$AB$300,ROWS($A$7:A46))&gt;=1000000000000,"",INDEX(タスク!C$5:C$300,MATCH(SMALL(タスク!$AB$5:$AB$300,ROWS($A$7:A46)),タスク!$AB$5:$AB$300,0))),"")</f>
        <v>ステージ</v>
      </c>
      <c r="D46" s="53" t="str">
        <f>IFERROR(IF(SMALL(タスク!$AB$5:$AB$300,ROWS($A$7:A46))&gt;=1000000000000,"",INDEX(タスク!D$5:D$300,MATCH(SMALL(タスク!$AB$5:$AB$300,ROWS($A$7:A46)),タスク!$AB$5:$AB$300,0))),"")</f>
        <v>ステージ3</v>
      </c>
      <c r="E46" s="53" t="str">
        <f>IFERROR(IF(SMALL(タスク!$AB$5:$AB$300,ROWS($A$7:A46))&gt;=1000000000000,"",INDEX(タスク!E$5:E$300,MATCH(SMALL(タスク!$AB$5:$AB$300,ROWS($A$7:A46)),タスク!$AB$5:$AB$300,0))),"")</f>
        <v>A</v>
      </c>
      <c r="F46" s="53" t="str">
        <f>IFERROR(IF(SMALL(タスク!$AB$5:$AB$300,ROWS($A$7:A46))&gt;=1000000000000,"",INDEX(タスク!F$5:F$300,MATCH(SMALL(タスク!$AB$5:$AB$300,ROWS($A$7:A46)),タスク!$AB$5:$AB$300,0))),"")</f>
        <v>未着手</v>
      </c>
      <c r="G46" s="53">
        <f>IFERROR(IF(SMALL(タスク!$AB$5:$AB$300,ROWS($A$7:A46))&gt;=1000000000000,"",INDEX(タスク!G$5:G$300,MATCH(SMALL(タスク!$AB$5:$AB$300,ROWS($A$7:A46)),タスク!$AB$5:$AB$300,0))),"")</f>
        <v>10</v>
      </c>
      <c r="H46" s="53">
        <f>IFERROR(IF(SMALL(タスク!$AB$5:$AB$300,ROWS($A$7:A46))&gt;=1000000000000,"",INDEX(タスク!H$5:H$300,MATCH(SMALL(タスク!$AB$5:$AB$300,ROWS($A$7:A46)),タスク!$AB$5:$AB$300,0))),"")</f>
        <v>0</v>
      </c>
      <c r="I46" s="53" t="str">
        <f>IFERROR(IF(SMALL(タスク!$AB$5:$AB$300,ROWS($A$7:A46))&gt;=1000000000000,"",INDEX(タスク!I$5:I$300,MATCH(SMALL(タスク!$AB$5:$AB$300,ROWS($A$7:A46)),タスク!$AB$5:$AB$300,0))),"")</f>
        <v>元表の項目</v>
      </c>
      <c r="J46" s="53">
        <f>IFERROR(IF(SMALL(タスク!$AB$5:$AB$300,ROWS($A$7:A46))&gt;=1000000000000,"",INDEX(タスク!J$5:J$300,MATCH(SMALL(タスク!$AB$5:$AB$300,ROWS($A$7:A46)),タスク!$AB$5:$AB$300,0))),"")</f>
        <v>0</v>
      </c>
    </row>
    <row r="47" spans="1:10">
      <c r="A47" s="53" t="str">
        <f>IFERROR(IF(SMALL(タスク!$AB$5:$AB$300,ROWS($A$7:A47))&gt;=1000000000000,"",INDEX(タスク!A$5:A$300,MATCH(SMALL(タスク!$AB$5:$AB$300,ROWS($A$7:A47)),タスク!$AB$5:$AB$300,0))),"")</f>
        <v>T050</v>
      </c>
      <c r="B47" s="53" t="str">
        <f>IFERROR(IF(SMALL(タスク!$AB$5:$AB$300,ROWS($A$7:A47))&gt;=1000000000000,"",INDEX(タスク!B$5:B$300,MATCH(SMALL(タスク!$AB$5:$AB$300,ROWS($A$7:A47)),タスク!$AB$5:$AB$300,0))),"")</f>
        <v>アルファ</v>
      </c>
      <c r="C47" s="53" t="str">
        <f>IFERROR(IF(SMALL(タスク!$AB$5:$AB$300,ROWS($A$7:A47))&gt;=1000000000000,"",INDEX(タスク!C$5:C$300,MATCH(SMALL(タスク!$AB$5:$AB$300,ROWS($A$7:A47)),タスク!$AB$5:$AB$300,0))),"")</f>
        <v>ハッキング</v>
      </c>
      <c r="D47" s="53" t="str">
        <f>IFERROR(IF(SMALL(タスク!$AB$5:$AB$300,ROWS($A$7:A47))&gt;=1000000000000,"",INDEX(タスク!D$5:D$300,MATCH(SMALL(タスク!$AB$5:$AB$300,ROWS($A$7:A47)),タスク!$AB$5:$AB$300,0))),"")</f>
        <v>弱体化時間・青/黄色マス効果の統合</v>
      </c>
      <c r="E47" s="53" t="str">
        <f>IFERROR(IF(SMALL(タスク!$AB$5:$AB$300,ROWS($A$7:A47))&gt;=1000000000000,"",INDEX(タスク!E$5:E$300,MATCH(SMALL(タスク!$AB$5:$AB$300,ROWS($A$7:A47)),タスク!$AB$5:$AB$300,0))),"")</f>
        <v>S</v>
      </c>
      <c r="F47" s="53" t="str">
        <f>IFERROR(IF(SMALL(タスク!$AB$5:$AB$300,ROWS($A$7:A47))&gt;=1000000000000,"",INDEX(タスク!F$5:F$300,MATCH(SMALL(タスク!$AB$5:$AB$300,ROWS($A$7:A47)),タスク!$AB$5:$AB$300,0))),"")</f>
        <v>計画追加</v>
      </c>
      <c r="G47" s="53">
        <f>IFERROR(IF(SMALL(タスク!$AB$5:$AB$300,ROWS($A$7:A47))&gt;=1000000000000,"",INDEX(タスク!G$5:G$300,MATCH(SMALL(タスク!$AB$5:$AB$300,ROWS($A$7:A47)),タスク!$AB$5:$AB$300,0))),"")</f>
        <v>8</v>
      </c>
      <c r="H47" s="53">
        <f>IFERROR(IF(SMALL(タスク!$AB$5:$AB$300,ROWS($A$7:A47))&gt;=1000000000000,"",INDEX(タスク!H$5:H$300,MATCH(SMALL(タスク!$AB$5:$AB$300,ROWS($A$7:A47)),タスク!$AB$5:$AB$300,0))),"")</f>
        <v>0</v>
      </c>
      <c r="I47" s="53" t="str">
        <f>IFERROR(IF(SMALL(タスク!$AB$5:$AB$300,ROWS($A$7:A47))&gt;=1000000000000,"",INDEX(タスク!I$5:I$300,MATCH(SMALL(タスク!$AB$5:$AB$300,ROWS($A$7:A47)),タスク!$AB$5:$AB$300,0))),"")</f>
        <v>仕様メモとHackableあり。効果時間・重複・解除を決める</v>
      </c>
      <c r="J47" s="53">
        <f>IFERROR(IF(SMALL(タスク!$AB$5:$AB$300,ROWS($A$7:A47))&gt;=1000000000000,"",INDEX(タスク!J$5:J$300,MATCH(SMALL(タスク!$AB$5:$AB$300,ROWS($A$7:A47)),タスク!$AB$5:$AB$300,0))),"")</f>
        <v>0</v>
      </c>
    </row>
    <row r="48" spans="1:10">
      <c r="A48" s="53" t="str">
        <f>IFERROR(IF(SMALL(タスク!$AB$5:$AB$300,ROWS($A$7:A48))&gt;=1000000000000,"",INDEX(タスク!A$5:A$300,MATCH(SMALL(タスク!$AB$5:$AB$300,ROWS($A$7:A48)),タスク!$AB$5:$AB$300,0))),"")</f>
        <v>T034</v>
      </c>
      <c r="B48" s="53" t="str">
        <f>IFERROR(IF(SMALL(タスク!$AB$5:$AB$300,ROWS($A$7:A48))&gt;=1000000000000,"",INDEX(タスク!B$5:B$300,MATCH(SMALL(タスク!$AB$5:$AB$300,ROWS($A$7:A48)),タスク!$AB$5:$AB$300,0))),"")</f>
        <v>アルファ</v>
      </c>
      <c r="C48" s="53" t="str">
        <f>IFERROR(IF(SMALL(タスク!$AB$5:$AB$300,ROWS($A$7:A48))&gt;=1000000000000,"",INDEX(タスク!C$5:C$300,MATCH(SMALL(タスク!$AB$5:$AB$300,ROWS($A$7:A48)),タスク!$AB$5:$AB$300,0))),"")</f>
        <v>演出</v>
      </c>
      <c r="D48" s="53" t="str">
        <f>IFERROR(IF(SMALL(タスク!$AB$5:$AB$300,ROWS($A$7:A48))&gt;=1000000000000,"",INDEX(タスク!D$5:D$300,MATCH(SMALL(タスク!$AB$5:$AB$300,ROWS($A$7:A48)),タスク!$AB$5:$AB$300,0))),"")</f>
        <v>エフェクトマネージャー</v>
      </c>
      <c r="E48" s="53" t="str">
        <f>IFERROR(IF(SMALL(タスク!$AB$5:$AB$300,ROWS($A$7:A48))&gt;=1000000000000,"",INDEX(タスク!E$5:E$300,MATCH(SMALL(タスク!$AB$5:$AB$300,ROWS($A$7:A48)),タスク!$AB$5:$AB$300,0))),"")</f>
        <v>S</v>
      </c>
      <c r="F48" s="53" t="str">
        <f>IFERROR(IF(SMALL(タスク!$AB$5:$AB$300,ROWS($A$7:A48))&gt;=1000000000000,"",INDEX(タスク!F$5:F$300,MATCH(SMALL(タスク!$AB$5:$AB$300,ROWS($A$7:A48)),タスク!$AB$5:$AB$300,0))),"")</f>
        <v>未着手</v>
      </c>
      <c r="G48" s="53">
        <f>IFERROR(IF(SMALL(タスク!$AB$5:$AB$300,ROWS($A$7:A48))&gt;=1000000000000,"",INDEX(タスク!G$5:G$300,MATCH(SMALL(タスク!$AB$5:$AB$300,ROWS($A$7:A48)),タスク!$AB$5:$AB$300,0))),"")</f>
        <v>2</v>
      </c>
      <c r="H48" s="53">
        <f>IFERROR(IF(SMALL(タスク!$AB$5:$AB$300,ROWS($A$7:A48))&gt;=1000000000000,"",INDEX(タスク!H$5:H$300,MATCH(SMALL(タスク!$AB$5:$AB$300,ROWS($A$7:A48)),タスク!$AB$5:$AB$300,0))),"")</f>
        <v>0</v>
      </c>
      <c r="I48" s="53" t="str">
        <f>IFERROR(IF(SMALL(タスク!$AB$5:$AB$300,ROWS($A$7:A48))&gt;=1000000000000,"",INDEX(タスク!I$5:I$300,MATCH(SMALL(タスク!$AB$5:$AB$300,ROWS($A$7:A48)),タスク!$AB$5:$AB$300,0))),"")</f>
        <v>元表の項目</v>
      </c>
      <c r="J48" s="53">
        <f>IFERROR(IF(SMALL(タスク!$AB$5:$AB$300,ROWS($A$7:A48))&gt;=1000000000000,"",INDEX(タスク!J$5:J$300,MATCH(SMALL(タスク!$AB$5:$AB$300,ROWS($A$7:A48)),タスク!$AB$5:$AB$300,0))),"")</f>
        <v>0</v>
      </c>
    </row>
    <row r="49" spans="1:10">
      <c r="A49" s="53" t="str">
        <f>IFERROR(IF(SMALL(タスク!$AB$5:$AB$300,ROWS($A$7:A49))&gt;=1000000000000,"",INDEX(タスク!A$5:A$300,MATCH(SMALL(タスク!$AB$5:$AB$300,ROWS($A$7:A49)),タスク!$AB$5:$AB$300,0))),"")</f>
        <v>T035</v>
      </c>
      <c r="B49" s="53" t="str">
        <f>IFERROR(IF(SMALL(タスク!$AB$5:$AB$300,ROWS($A$7:A49))&gt;=1000000000000,"",INDEX(タスク!B$5:B$300,MATCH(SMALL(タスク!$AB$5:$AB$300,ROWS($A$7:A49)),タスク!$AB$5:$AB$300,0))),"")</f>
        <v>アルファ</v>
      </c>
      <c r="C49" s="53" t="str">
        <f>IFERROR(IF(SMALL(タスク!$AB$5:$AB$300,ROWS($A$7:A49))&gt;=1000000000000,"",INDEX(タスク!C$5:C$300,MATCH(SMALL(タスク!$AB$5:$AB$300,ROWS($A$7:A49)),タスク!$AB$5:$AB$300,0))),"")</f>
        <v>演出</v>
      </c>
      <c r="D49" s="53" t="str">
        <f>IFERROR(IF(SMALL(タスク!$AB$5:$AB$300,ROWS($A$7:A49))&gt;=1000000000000,"",INDEX(タスク!D$5:D$300,MATCH(SMALL(タスク!$AB$5:$AB$300,ROWS($A$7:A49)),タスク!$AB$5:$AB$300,0))),"")</f>
        <v>エフェクト実装</v>
      </c>
      <c r="E49" s="53" t="str">
        <f>IFERROR(IF(SMALL(タスク!$AB$5:$AB$300,ROWS($A$7:A49))&gt;=1000000000000,"",INDEX(タスク!E$5:E$300,MATCH(SMALL(タスク!$AB$5:$AB$300,ROWS($A$7:A49)),タスク!$AB$5:$AB$300,0))),"")</f>
        <v>S</v>
      </c>
      <c r="F49" s="53" t="str">
        <f>IFERROR(IF(SMALL(タスク!$AB$5:$AB$300,ROWS($A$7:A49))&gt;=1000000000000,"",INDEX(タスク!F$5:F$300,MATCH(SMALL(タスク!$AB$5:$AB$300,ROWS($A$7:A49)),タスク!$AB$5:$AB$300,0))),"")</f>
        <v>未着手</v>
      </c>
      <c r="G49" s="53">
        <f>IFERROR(IF(SMALL(タスク!$AB$5:$AB$300,ROWS($A$7:A49))&gt;=1000000000000,"",INDEX(タスク!G$5:G$300,MATCH(SMALL(タスク!$AB$5:$AB$300,ROWS($A$7:A49)),タスク!$AB$5:$AB$300,0))),"")</f>
        <v>4</v>
      </c>
      <c r="H49" s="53">
        <f>IFERROR(IF(SMALL(タスク!$AB$5:$AB$300,ROWS($A$7:A49))&gt;=1000000000000,"",INDEX(タスク!H$5:H$300,MATCH(SMALL(タスク!$AB$5:$AB$300,ROWS($A$7:A49)),タスク!$AB$5:$AB$300,0))),"")</f>
        <v>0</v>
      </c>
      <c r="I49" s="53" t="str">
        <f>IFERROR(IF(SMALL(タスク!$AB$5:$AB$300,ROWS($A$7:A49))&gt;=1000000000000,"",INDEX(タスク!I$5:I$300,MATCH(SMALL(タスク!$AB$5:$AB$300,ROWS($A$7:A49)),タスク!$AB$5:$AB$300,0))),"")</f>
        <v>命中・ハッキング・被弾など</v>
      </c>
      <c r="J49" s="53">
        <f>IFERROR(IF(SMALL(タスク!$AB$5:$AB$300,ROWS($A$7:A49))&gt;=1000000000000,"",INDEX(タスク!J$5:J$300,MATCH(SMALL(タスク!$AB$5:$AB$300,ROWS($A$7:A49)),タスク!$AB$5:$AB$300,0))),"")</f>
        <v>0</v>
      </c>
    </row>
    <row r="50" spans="1:10">
      <c r="A50" s="53" t="str">
        <f>IFERROR(IF(SMALL(タスク!$AB$5:$AB$300,ROWS($A$7:A50))&gt;=1000000000000,"",INDEX(タスク!A$5:A$300,MATCH(SMALL(タスク!$AB$5:$AB$300,ROWS($A$7:A50)),タスク!$AB$5:$AB$300,0))),"")</f>
        <v>T036</v>
      </c>
      <c r="B50" s="53" t="str">
        <f>IFERROR(IF(SMALL(タスク!$AB$5:$AB$300,ROWS($A$7:A50))&gt;=1000000000000,"",INDEX(タスク!B$5:B$300,MATCH(SMALL(タスク!$AB$5:$AB$300,ROWS($A$7:A50)),タスク!$AB$5:$AB$300,0))),"")</f>
        <v>アルファ</v>
      </c>
      <c r="C50" s="53" t="str">
        <f>IFERROR(IF(SMALL(タスク!$AB$5:$AB$300,ROWS($A$7:A50))&gt;=1000000000000,"",INDEX(タスク!C$5:C$300,MATCH(SMALL(タスク!$AB$5:$AB$300,ROWS($A$7:A50)),タスク!$AB$5:$AB$300,0))),"")</f>
        <v>演出</v>
      </c>
      <c r="D50" s="53" t="str">
        <f>IFERROR(IF(SMALL(タスク!$AB$5:$AB$300,ROWS($A$7:A50))&gt;=1000000000000,"",INDEX(タスク!D$5:D$300,MATCH(SMALL(タスク!$AB$5:$AB$300,ROWS($A$7:A50)),タスク!$AB$5:$AB$300,0))),"")</f>
        <v>サウンドマネージャー</v>
      </c>
      <c r="E50" s="53" t="str">
        <f>IFERROR(IF(SMALL(タスク!$AB$5:$AB$300,ROWS($A$7:A50))&gt;=1000000000000,"",INDEX(タスク!E$5:E$300,MATCH(SMALL(タスク!$AB$5:$AB$300,ROWS($A$7:A50)),タスク!$AB$5:$AB$300,0))),"")</f>
        <v>S</v>
      </c>
      <c r="F50" s="53" t="str">
        <f>IFERROR(IF(SMALL(タスク!$AB$5:$AB$300,ROWS($A$7:A50))&gt;=1000000000000,"",INDEX(タスク!F$5:F$300,MATCH(SMALL(タスク!$AB$5:$AB$300,ROWS($A$7:A50)),タスク!$AB$5:$AB$300,0))),"")</f>
        <v>未着手</v>
      </c>
      <c r="G50" s="53">
        <f>IFERROR(IF(SMALL(タスク!$AB$5:$AB$300,ROWS($A$7:A50))&gt;=1000000000000,"",INDEX(タスク!G$5:G$300,MATCH(SMALL(タスク!$AB$5:$AB$300,ROWS($A$7:A50)),タスク!$AB$5:$AB$300,0))),"")</f>
        <v>2</v>
      </c>
      <c r="H50" s="53">
        <f>IFERROR(IF(SMALL(タスク!$AB$5:$AB$300,ROWS($A$7:A50))&gt;=1000000000000,"",INDEX(タスク!H$5:H$300,MATCH(SMALL(タスク!$AB$5:$AB$300,ROWS($A$7:A50)),タスク!$AB$5:$AB$300,0))),"")</f>
        <v>0</v>
      </c>
      <c r="I50" s="53" t="str">
        <f>IFERROR(IF(SMALL(タスク!$AB$5:$AB$300,ROWS($A$7:A50))&gt;=1000000000000,"",INDEX(タスク!I$5:I$300,MATCH(SMALL(タスク!$AB$5:$AB$300,ROWS($A$7:A50)),タスク!$AB$5:$AB$300,0))),"")</f>
        <v>元表の項目</v>
      </c>
      <c r="J50" s="53">
        <f>IFERROR(IF(SMALL(タスク!$AB$5:$AB$300,ROWS($A$7:A50))&gt;=1000000000000,"",INDEX(タスク!J$5:J$300,MATCH(SMALL(タスク!$AB$5:$AB$300,ROWS($A$7:A50)),タスク!$AB$5:$AB$300,0))),"")</f>
        <v>0</v>
      </c>
    </row>
    <row r="51" spans="1:10">
      <c r="A51" s="53" t="str">
        <f>IFERROR(IF(SMALL(タスク!$AB$5:$AB$300,ROWS($A$7:A51))&gt;=1000000000000,"",INDEX(タスク!A$5:A$300,MATCH(SMALL(タスク!$AB$5:$AB$300,ROWS($A$7:A51)),タスク!$AB$5:$AB$300,0))),"")</f>
        <v>T032</v>
      </c>
      <c r="B51" s="53" t="str">
        <f>IFERROR(IF(SMALL(タスク!$AB$5:$AB$300,ROWS($A$7:A51))&gt;=1000000000000,"",INDEX(タスク!B$5:B$300,MATCH(SMALL(タスク!$AB$5:$AB$300,ROWS($A$7:A51)),タスク!$AB$5:$AB$300,0))),"")</f>
        <v>アルファ</v>
      </c>
      <c r="C51" s="53" t="str">
        <f>IFERROR(IF(SMALL(タスク!$AB$5:$AB$300,ROWS($A$7:A51))&gt;=1000000000000,"",INDEX(タスク!C$5:C$300,MATCH(SMALL(タスク!$AB$5:$AB$300,ROWS($A$7:A51)),タスク!$AB$5:$AB$300,0))),"")</f>
        <v>素材</v>
      </c>
      <c r="D51" s="53" t="str">
        <f>IFERROR(IF(SMALL(タスク!$AB$5:$AB$300,ROWS($A$7:A51))&gt;=1000000000000,"",INDEX(タスク!D$5:D$300,MATCH(SMALL(タスク!$AB$5:$AB$300,ROWS($A$7:A51)),タスク!$AB$5:$AB$300,0))),"")</f>
        <v>画像・テクスチャ</v>
      </c>
      <c r="E51" s="53" t="str">
        <f>IFERROR(IF(SMALL(タスク!$AB$5:$AB$300,ROWS($A$7:A51))&gt;=1000000000000,"",INDEX(タスク!E$5:E$300,MATCH(SMALL(タスク!$AB$5:$AB$300,ROWS($A$7:A51)),タスク!$AB$5:$AB$300,0))),"")</f>
        <v>S</v>
      </c>
      <c r="F51" s="53" t="str">
        <f>IFERROR(IF(SMALL(タスク!$AB$5:$AB$300,ROWS($A$7:A51))&gt;=1000000000000,"",INDEX(タスク!F$5:F$300,MATCH(SMALL(タスク!$AB$5:$AB$300,ROWS($A$7:A51)),タスク!$AB$5:$AB$300,0))),"")</f>
        <v>進行中</v>
      </c>
      <c r="G51" s="53">
        <f>IFERROR(IF(SMALL(タスク!$AB$5:$AB$300,ROWS($A$7:A51))&gt;=1000000000000,"",INDEX(タスク!G$5:G$300,MATCH(SMALL(タスク!$AB$5:$AB$300,ROWS($A$7:A51)),タスク!$AB$5:$AB$300,0))),"")</f>
        <v>5</v>
      </c>
      <c r="H51" s="53">
        <f>IFERROR(IF(SMALL(タスク!$AB$5:$AB$300,ROWS($A$7:A51))&gt;=1000000000000,"",INDEX(タスク!H$5:H$300,MATCH(SMALL(タスク!$AB$5:$AB$300,ROWS($A$7:A51)),タスク!$AB$5:$AB$300,0))),"")</f>
        <v>0</v>
      </c>
      <c r="I51" s="53" t="str">
        <f>IFERROR(IF(SMALL(タスク!$AB$5:$AB$300,ROWS($A$7:A51))&gt;=1000000000000,"",INDEX(タスク!I$5:I$300,MATCH(SMALL(タスク!$AB$5:$AB$300,ROWS($A$7:A51)),タスク!$AB$5:$AB$300,0))),"")</f>
        <v>Walker素材/テクスチャあり。ゲーム用調整と反映確認</v>
      </c>
      <c r="J51" s="53">
        <f>IFERROR(IF(SMALL(タスク!$AB$5:$AB$300,ROWS($A$7:A51))&gt;=1000000000000,"",INDEX(タスク!J$5:J$300,MATCH(SMALL(タスク!$AB$5:$AB$300,ROWS($A$7:A51)),タスク!$AB$5:$AB$300,0))),"")</f>
        <v>0</v>
      </c>
    </row>
    <row r="52" spans="1:10">
      <c r="A52" s="53" t="str">
        <f>IFERROR(IF(SMALL(タスク!$AB$5:$AB$300,ROWS($A$7:A52))&gt;=1000000000000,"",INDEX(タスク!A$5:A$300,MATCH(SMALL(タスク!$AB$5:$AB$300,ROWS($A$7:A52)),タスク!$AB$5:$AB$300,0))),"")</f>
        <v>T020</v>
      </c>
      <c r="B52" s="53" t="str">
        <f>IFERROR(IF(SMALL(タスク!$AB$5:$AB$300,ROWS($A$7:A52))&gt;=1000000000000,"",INDEX(タスク!B$5:B$300,MATCH(SMALL(タスク!$AB$5:$AB$300,ROWS($A$7:A52)),タスク!$AB$5:$AB$300,0))),"")</f>
        <v>アルファ</v>
      </c>
      <c r="C52" s="53" t="str">
        <f>IFERROR(IF(SMALL(タスク!$AB$5:$AB$300,ROWS($A$7:A52))&gt;=1000000000000,"",INDEX(タスク!C$5:C$300,MATCH(SMALL(タスク!$AB$5:$AB$300,ROWS($A$7:A52)),タスク!$AB$5:$AB$300,0))),"")</f>
        <v>敵</v>
      </c>
      <c r="D52" s="53" t="str">
        <f>IFERROR(IF(SMALL(タスク!$AB$5:$AB$300,ROWS($A$7:A52))&gt;=1000000000000,"",INDEX(タスク!D$5:D$300,MATCH(SMALL(タスク!$AB$5:$AB$300,ROWS($A$7:A52)),タスク!$AB$5:$AB$300,0))),"")</f>
        <v>雑魚敵2（Walker）</v>
      </c>
      <c r="E52" s="53" t="str">
        <f>IFERROR(IF(SMALL(タスク!$AB$5:$AB$300,ROWS($A$7:A52))&gt;=1000000000000,"",INDEX(タスク!E$5:E$300,MATCH(SMALL(タスク!$AB$5:$AB$300,ROWS($A$7:A52)),タスク!$AB$5:$AB$300,0))),"")</f>
        <v>S</v>
      </c>
      <c r="F52" s="53" t="str">
        <f>IFERROR(IF(SMALL(タスク!$AB$5:$AB$300,ROWS($A$7:A52))&gt;=1000000000000,"",INDEX(タスク!F$5:F$300,MATCH(SMALL(タスク!$AB$5:$AB$300,ROWS($A$7:A52)),タスク!$AB$5:$AB$300,0))),"")</f>
        <v>一部実装</v>
      </c>
      <c r="G52" s="53">
        <f>IFERROR(IF(SMALL(タスク!$AB$5:$AB$300,ROWS($A$7:A52))&gt;=1000000000000,"",INDEX(タスク!G$5:G$300,MATCH(SMALL(タスク!$AB$5:$AB$300,ROWS($A$7:A52)),タスク!$AB$5:$AB$300,0))),"")</f>
        <v>6</v>
      </c>
      <c r="H52" s="53">
        <f>IFERROR(IF(SMALL(タスク!$AB$5:$AB$300,ROWS($A$7:A52))&gt;=1000000000000,"",INDEX(タスク!H$5:H$300,MATCH(SMALL(タスク!$AB$5:$AB$300,ROWS($A$7:A52)),タスク!$AB$5:$AB$300,0))),"")</f>
        <v>0</v>
      </c>
      <c r="I52" s="53" t="str">
        <f>IFERROR(IF(SMALL(タスク!$AB$5:$AB$300,ROWS($A$7:A52))&gt;=1000000000000,"",INDEX(タスク!I$5:I$300,MATCH(SMALL(タスク!$AB$5:$AB$300,ROWS($A$7:A52)),タスク!$AB$5:$AB$300,0))),"")</f>
        <v>WalkerとOrbit/Approach状態、モデルあり。調整・動作確認が残る</v>
      </c>
      <c r="J52" s="53">
        <f>IFERROR(IF(SMALL(タスク!$AB$5:$AB$300,ROWS($A$7:A52))&gt;=1000000000000,"",INDEX(タスク!J$5:J$300,MATCH(SMALL(タスク!$AB$5:$AB$300,ROWS($A$7:A52)),タスク!$AB$5:$AB$300,0))),"")</f>
        <v>0</v>
      </c>
    </row>
    <row r="53" spans="1:10">
      <c r="A53" s="53" t="str">
        <f>IFERROR(IF(SMALL(タスク!$AB$5:$AB$300,ROWS($A$7:A53))&gt;=1000000000000,"",INDEX(タスク!A$5:A$300,MATCH(SMALL(タスク!$AB$5:$AB$300,ROWS($A$7:A53)),タスク!$AB$5:$AB$300,0))),"")</f>
        <v>T021</v>
      </c>
      <c r="B53" s="53" t="str">
        <f>IFERROR(IF(SMALL(タスク!$AB$5:$AB$300,ROWS($A$7:A53))&gt;=1000000000000,"",INDEX(タスク!B$5:B$300,MATCH(SMALL(タスク!$AB$5:$AB$300,ROWS($A$7:A53)),タスク!$AB$5:$AB$300,0))),"")</f>
        <v>アルファ</v>
      </c>
      <c r="C53" s="53" t="str">
        <f>IFERROR(IF(SMALL(タスク!$AB$5:$AB$300,ROWS($A$7:A53))&gt;=1000000000000,"",INDEX(タスク!C$5:C$300,MATCH(SMALL(タスク!$AB$5:$AB$300,ROWS($A$7:A53)),タスク!$AB$5:$AB$300,0))),"")</f>
        <v>敵</v>
      </c>
      <c r="D53" s="53" t="str">
        <f>IFERROR(IF(SMALL(タスク!$AB$5:$AB$300,ROWS($A$7:A53))&gt;=1000000000000,"",INDEX(タスク!D$5:D$300,MATCH(SMALL(タスク!$AB$5:$AB$300,ROWS($A$7:A53)),タスク!$AB$5:$AB$300,0))),"")</f>
        <v>雑魚敵3</v>
      </c>
      <c r="E53" s="53" t="str">
        <f>IFERROR(IF(SMALL(タスク!$AB$5:$AB$300,ROWS($A$7:A53))&gt;=1000000000000,"",INDEX(タスク!E$5:E$300,MATCH(SMALL(タスク!$AB$5:$AB$300,ROWS($A$7:A53)),タスク!$AB$5:$AB$300,0))),"")</f>
        <v>A</v>
      </c>
      <c r="F53" s="53" t="str">
        <f>IFERROR(IF(SMALL(タスク!$AB$5:$AB$300,ROWS($A$7:A53))&gt;=1000000000000,"",INDEX(タスク!F$5:F$300,MATCH(SMALL(タスク!$AB$5:$AB$300,ROWS($A$7:A53)),タスク!$AB$5:$AB$300,0))),"")</f>
        <v>未着手</v>
      </c>
      <c r="G53" s="53">
        <f>IFERROR(IF(SMALL(タスク!$AB$5:$AB$300,ROWS($A$7:A53))&gt;=1000000000000,"",INDEX(タスク!G$5:G$300,MATCH(SMALL(タスク!$AB$5:$AB$300,ROWS($A$7:A53)),タスク!$AB$5:$AB$300,0))),"")</f>
        <v>4</v>
      </c>
      <c r="H53" s="53">
        <f>IFERROR(IF(SMALL(タスク!$AB$5:$AB$300,ROWS($A$7:A53))&gt;=1000000000000,"",INDEX(タスク!H$5:H$300,MATCH(SMALL(タスク!$AB$5:$AB$300,ROWS($A$7:A53)),タスク!$AB$5:$AB$300,0))),"")</f>
        <v>0</v>
      </c>
      <c r="I53" s="53" t="str">
        <f>IFERROR(IF(SMALL(タスク!$AB$5:$AB$300,ROWS($A$7:A53))&gt;=1000000000000,"",INDEX(タスク!I$5:I$300,MATCH(SMALL(タスク!$AB$5:$AB$300,ROWS($A$7:A53)),タスク!$AB$5:$AB$300,0))),"")</f>
        <v>元表の追加敵</v>
      </c>
      <c r="J53" s="53">
        <f>IFERROR(IF(SMALL(タスク!$AB$5:$AB$300,ROWS($A$7:A53))&gt;=1000000000000,"",INDEX(タスク!J$5:J$300,MATCH(SMALL(タスク!$AB$5:$AB$300,ROWS($A$7:A53)),タスク!$AB$5:$AB$300,0))),"")</f>
        <v>0</v>
      </c>
    </row>
    <row r="54" spans="1:10">
      <c r="A54" s="53" t="str">
        <f>IFERROR(IF(SMALL(タスク!$AB$5:$AB$300,ROWS($A$7:A54))&gt;=1000000000000,"",INDEX(タスク!A$5:A$300,MATCH(SMALL(タスク!$AB$5:$AB$300,ROWS($A$7:A54)),タスク!$AB$5:$AB$300,0))),"")</f>
        <v>T023</v>
      </c>
      <c r="B54" s="53" t="str">
        <f>IFERROR(IF(SMALL(タスク!$AB$5:$AB$300,ROWS($A$7:A54))&gt;=1000000000000,"",INDEX(タスク!B$5:B$300,MATCH(SMALL(タスク!$AB$5:$AB$300,ROWS($A$7:A54)),タスク!$AB$5:$AB$300,0))),"")</f>
        <v>アルファ</v>
      </c>
      <c r="C54" s="53" t="str">
        <f>IFERROR(IF(SMALL(タスク!$AB$5:$AB$300,ROWS($A$7:A54))&gt;=1000000000000,"",INDEX(タスク!C$5:C$300,MATCH(SMALL(タスク!$AB$5:$AB$300,ROWS($A$7:A54)),タスク!$AB$5:$AB$300,0))),"")</f>
        <v>敵</v>
      </c>
      <c r="D54" s="53" t="str">
        <f>IFERROR(IF(SMALL(タスク!$AB$5:$AB$300,ROWS($A$7:A54))&gt;=1000000000000,"",INDEX(タスク!D$5:D$300,MATCH(SMALL(タスク!$AB$5:$AB$300,ROWS($A$7:A54)),タスク!$AB$5:$AB$300,0))),"")</f>
        <v>ボス2</v>
      </c>
      <c r="E54" s="53" t="str">
        <f>IFERROR(IF(SMALL(タスク!$AB$5:$AB$300,ROWS($A$7:A54))&gt;=1000000000000,"",INDEX(タスク!E$5:E$300,MATCH(SMALL(タスク!$AB$5:$AB$300,ROWS($A$7:A54)),タスク!$AB$5:$AB$300,0))),"")</f>
        <v>A</v>
      </c>
      <c r="F54" s="53" t="str">
        <f>IFERROR(IF(SMALL(タスク!$AB$5:$AB$300,ROWS($A$7:A54))&gt;=1000000000000,"",INDEX(タスク!F$5:F$300,MATCH(SMALL(タスク!$AB$5:$AB$300,ROWS($A$7:A54)),タスク!$AB$5:$AB$300,0))),"")</f>
        <v>未着手</v>
      </c>
      <c r="G54" s="53">
        <f>IFERROR(IF(SMALL(タスク!$AB$5:$AB$300,ROWS($A$7:A54))&gt;=1000000000000,"",INDEX(タスク!G$5:G$300,MATCH(SMALL(タスク!$AB$5:$AB$300,ROWS($A$7:A54)),タスク!$AB$5:$AB$300,0))),"")</f>
        <v>5</v>
      </c>
      <c r="H54" s="53">
        <f>IFERROR(IF(SMALL(タスク!$AB$5:$AB$300,ROWS($A$7:A54))&gt;=1000000000000,"",INDEX(タスク!H$5:H$300,MATCH(SMALL(タスク!$AB$5:$AB$300,ROWS($A$7:A54)),タスク!$AB$5:$AB$300,0))),"")</f>
        <v>0</v>
      </c>
      <c r="I54" s="53" t="str">
        <f>IFERROR(IF(SMALL(タスク!$AB$5:$AB$300,ROWS($A$7:A54))&gt;=1000000000000,"",INDEX(タスク!I$5:I$300,MATCH(SMALL(タスク!$AB$5:$AB$300,ROWS($A$7:A54)),タスク!$AB$5:$AB$300,0))),"")</f>
        <v>元表の項目</v>
      </c>
      <c r="J54" s="53">
        <f>IFERROR(IF(SMALL(タスク!$AB$5:$AB$300,ROWS($A$7:A54))&gt;=1000000000000,"",INDEX(タスク!J$5:J$300,MATCH(SMALL(タスク!$AB$5:$AB$300,ROWS($A$7:A54)),タスク!$AB$5:$AB$300,0))),"")</f>
        <v>0</v>
      </c>
    </row>
    <row r="55" spans="1:10">
      <c r="A55" s="53" t="str">
        <f>IFERROR(IF(SMALL(タスク!$AB$5:$AB$300,ROWS($A$7:A55))&gt;=1000000000000,"",INDEX(タスク!A$5:A$300,MATCH(SMALL(タスク!$AB$5:$AB$300,ROWS($A$7:A55)),タスク!$AB$5:$AB$300,0))),"")</f>
        <v>T024</v>
      </c>
      <c r="B55" s="53" t="str">
        <f>IFERROR(IF(SMALL(タスク!$AB$5:$AB$300,ROWS($A$7:A55))&gt;=1000000000000,"",INDEX(タスク!B$5:B$300,MATCH(SMALL(タスク!$AB$5:$AB$300,ROWS($A$7:A55)),タスク!$AB$5:$AB$300,0))),"")</f>
        <v>アルファ</v>
      </c>
      <c r="C55" s="53" t="str">
        <f>IFERROR(IF(SMALL(タスク!$AB$5:$AB$300,ROWS($A$7:A55))&gt;=1000000000000,"",INDEX(タスク!C$5:C$300,MATCH(SMALL(タスク!$AB$5:$AB$300,ROWS($A$7:A55)),タスク!$AB$5:$AB$300,0))),"")</f>
        <v>敵</v>
      </c>
      <c r="D55" s="53" t="str">
        <f>IFERROR(IF(SMALL(タスク!$AB$5:$AB$300,ROWS($A$7:A55))&gt;=1000000000000,"",INDEX(タスク!D$5:D$300,MATCH(SMALL(タスク!$AB$5:$AB$300,ROWS($A$7:A55)),タスク!$AB$5:$AB$300,0))),"")</f>
        <v>ボス3</v>
      </c>
      <c r="E55" s="53" t="str">
        <f>IFERROR(IF(SMALL(タスク!$AB$5:$AB$300,ROWS($A$7:A55))&gt;=1000000000000,"",INDEX(タスク!E$5:E$300,MATCH(SMALL(タスク!$AB$5:$AB$300,ROWS($A$7:A55)),タスク!$AB$5:$AB$300,0))),"")</f>
        <v>A</v>
      </c>
      <c r="F55" s="53" t="str">
        <f>IFERROR(IF(SMALL(タスク!$AB$5:$AB$300,ROWS($A$7:A55))&gt;=1000000000000,"",INDEX(タスク!F$5:F$300,MATCH(SMALL(タスク!$AB$5:$AB$300,ROWS($A$7:A55)),タスク!$AB$5:$AB$300,0))),"")</f>
        <v>未着手</v>
      </c>
      <c r="G55" s="53">
        <f>IFERROR(IF(SMALL(タスク!$AB$5:$AB$300,ROWS($A$7:A55))&gt;=1000000000000,"",INDEX(タスク!G$5:G$300,MATCH(SMALL(タスク!$AB$5:$AB$300,ROWS($A$7:A55)),タスク!$AB$5:$AB$300,0))),"")</f>
        <v>5</v>
      </c>
      <c r="H55" s="53">
        <f>IFERROR(IF(SMALL(タスク!$AB$5:$AB$300,ROWS($A$7:A55))&gt;=1000000000000,"",INDEX(タスク!H$5:H$300,MATCH(SMALL(タスク!$AB$5:$AB$300,ROWS($A$7:A55)),タスク!$AB$5:$AB$300,0))),"")</f>
        <v>0</v>
      </c>
      <c r="I55" s="53" t="str">
        <f>IFERROR(IF(SMALL(タスク!$AB$5:$AB$300,ROWS($A$7:A55))&gt;=1000000000000,"",INDEX(タスク!I$5:I$300,MATCH(SMALL(タスク!$AB$5:$AB$300,ROWS($A$7:A55)),タスク!$AB$5:$AB$300,0))),"")</f>
        <v>元表の項目</v>
      </c>
      <c r="J55" s="53">
        <f>IFERROR(IF(SMALL(タスク!$AB$5:$AB$300,ROWS($A$7:A55))&gt;=1000000000000,"",INDEX(タスク!J$5:J$300,MATCH(SMALL(タスク!$AB$5:$AB$300,ROWS($A$7:A55)),タスク!$AB$5:$AB$300,0))),"")</f>
        <v>0</v>
      </c>
    </row>
    <row r="56" spans="1:10">
      <c r="A56" s="53" t="str">
        <f>IFERROR(IF(SMALL(タスク!$AB$5:$AB$300,ROWS($A$7:A56))&gt;=1000000000000,"",INDEX(タスク!A$5:A$300,MATCH(SMALL(タスク!$AB$5:$AB$300,ROWS($A$7:A56)),タスク!$AB$5:$AB$300,0))),"")</f>
        <v>T049</v>
      </c>
      <c r="B56" s="53" t="str">
        <f>IFERROR(IF(SMALL(タスク!$AB$5:$AB$300,ROWS($A$7:A56))&gt;=1000000000000,"",INDEX(タスク!B$5:B$300,MATCH(SMALL(タスク!$AB$5:$AB$300,ROWS($A$7:A56)),タスク!$AB$5:$AB$300,0))),"")</f>
        <v>アルファ</v>
      </c>
      <c r="C56" s="53" t="str">
        <f>IFERROR(IF(SMALL(タスク!$AB$5:$AB$300,ROWS($A$7:A56))&gt;=1000000000000,"",INDEX(タスク!C$5:C$300,MATCH(SMALL(タスク!$AB$5:$AB$300,ROWS($A$7:A56)),タスク!$AB$5:$AB$300,0))),"")</f>
        <v>敵</v>
      </c>
      <c r="D56" s="53" t="str">
        <f>IFERROR(IF(SMALL(タスク!$AB$5:$AB$300,ROWS($A$7:A56))&gt;=1000000000000,"",INDEX(タスク!D$5:D$300,MATCH(SMALL(タスク!$AB$5:$AB$300,ROWS($A$7:A56)),タスク!$AB$5:$AB$300,0))),"")</f>
        <v>HP・被ダメージ・撃破とUI連携</v>
      </c>
      <c r="E56" s="53" t="str">
        <f>IFERROR(IF(SMALL(タスク!$AB$5:$AB$300,ROWS($A$7:A56))&gt;=1000000000000,"",INDEX(タスク!E$5:E$300,MATCH(SMALL(タスク!$AB$5:$AB$300,ROWS($A$7:A56)),タスク!$AB$5:$AB$300,0))),"")</f>
        <v>S</v>
      </c>
      <c r="F56" s="53" t="str">
        <f>IFERROR(IF(SMALL(タスク!$AB$5:$AB$300,ROWS($A$7:A56))&gt;=1000000000000,"",INDEX(タスク!F$5:F$300,MATCH(SMALL(タスク!$AB$5:$AB$300,ROWS($A$7:A56)),タスク!$AB$5:$AB$300,0))),"")</f>
        <v>計画追加</v>
      </c>
      <c r="G56" s="53">
        <f>IFERROR(IF(SMALL(タスク!$AB$5:$AB$300,ROWS($A$7:A56))&gt;=1000000000000,"",INDEX(タスク!G$5:G$300,MATCH(SMALL(タスク!$AB$5:$AB$300,ROWS($A$7:A56)),タスク!$AB$5:$AB$300,0))),"")</f>
        <v>10</v>
      </c>
      <c r="H56" s="53">
        <f>IFERROR(IF(SMALL(タスク!$AB$5:$AB$300,ROWS($A$7:A56))&gt;=1000000000000,"",INDEX(タスク!H$5:H$300,MATCH(SMALL(タスク!$AB$5:$AB$300,ROWS($A$7:A56)),タスク!$AB$5:$AB$300,0))),"")</f>
        <v>0</v>
      </c>
      <c r="I56" s="53" t="str">
        <f>IFERROR(IF(SMALL(タスク!$AB$5:$AB$300,ROWS($A$7:A56))&gt;=1000000000000,"",INDEX(タスク!I$5:I$300,MATCH(SMALL(タスク!$AB$5:$AB$300,ROWS($A$7:A56)),タスク!$AB$5:$AB$300,0))),"")</f>
        <v>EnemyHPUI/Hitboxあり。射撃・ハッキングとの接続</v>
      </c>
      <c r="J56" s="53">
        <f>IFERROR(IF(SMALL(タスク!$AB$5:$AB$300,ROWS($A$7:A56))&gt;=1000000000000,"",INDEX(タスク!J$5:J$300,MATCH(SMALL(タスク!$AB$5:$AB$300,ROWS($A$7:A56)),タスク!$AB$5:$AB$300,0))),"")</f>
        <v>0</v>
      </c>
    </row>
    <row r="57" spans="1:10">
      <c r="A57" s="53" t="str">
        <f>IFERROR(IF(SMALL(タスク!$AB$5:$AB$300,ROWS($A$7:A57))&gt;=1000000000000,"",INDEX(タスク!A$5:A$300,MATCH(SMALL(タスク!$AB$5:$AB$300,ROWS($A$7:A57)),タスク!$AB$5:$AB$300,0))),"")</f>
        <v>T051</v>
      </c>
      <c r="B57" s="53" t="str">
        <f>IFERROR(IF(SMALL(タスク!$AB$5:$AB$300,ROWS($A$7:A57))&gt;=1000000000000,"",INDEX(タスク!B$5:B$300,MATCH(SMALL(タスク!$AB$5:$AB$300,ROWS($A$7:A57)),タスク!$AB$5:$AB$300,0))),"")</f>
        <v>アルファ</v>
      </c>
      <c r="C57" s="53" t="str">
        <f>IFERROR(IF(SMALL(タスク!$AB$5:$AB$300,ROWS($A$7:A57))&gt;=1000000000000,"",INDEX(タスク!C$5:C$300,MATCH(SMALL(タスク!$AB$5:$AB$300,ROWS($A$7:A57)),タスク!$AB$5:$AB$300,0))),"")</f>
        <v>敵</v>
      </c>
      <c r="D57" s="53" t="str">
        <f>IFERROR(IF(SMALL(タスク!$AB$5:$AB$300,ROWS($A$7:A57))&gt;=1000000000000,"",INDEX(タスク!D$5:D$300,MATCH(SMALL(タスク!$AB$5:$AB$300,ROWS($A$7:A57)),タスク!$AB$5:$AB$300,0))),"")</f>
        <v>Walkerの攻撃・被弾・アニメーション統合</v>
      </c>
      <c r="E57" s="53" t="str">
        <f>IFERROR(IF(SMALL(タスク!$AB$5:$AB$300,ROWS($A$7:A57))&gt;=1000000000000,"",INDEX(タスク!E$5:E$300,MATCH(SMALL(タスク!$AB$5:$AB$300,ROWS($A$7:A57)),タスク!$AB$5:$AB$300,0))),"")</f>
        <v>S</v>
      </c>
      <c r="F57" s="53" t="str">
        <f>IFERROR(IF(SMALL(タスク!$AB$5:$AB$300,ROWS($A$7:A57))&gt;=1000000000000,"",INDEX(タスク!F$5:F$300,MATCH(SMALL(タスク!$AB$5:$AB$300,ROWS($A$7:A57)),タスク!$AB$5:$AB$300,0))),"")</f>
        <v>計画追加</v>
      </c>
      <c r="G57" s="53">
        <f>IFERROR(IF(SMALL(タスク!$AB$5:$AB$300,ROWS($A$7:A57))&gt;=1000000000000,"",INDEX(タスク!G$5:G$300,MATCH(SMALL(タスク!$AB$5:$AB$300,ROWS($A$7:A57)),タスク!$AB$5:$AB$300,0))),"")</f>
        <v>8</v>
      </c>
      <c r="H57" s="53">
        <f>IFERROR(IF(SMALL(タスク!$AB$5:$AB$300,ROWS($A$7:A57))&gt;=1000000000000,"",INDEX(タスク!H$5:H$300,MATCH(SMALL(タスク!$AB$5:$AB$300,ROWS($A$7:A57)),タスク!$AB$5:$AB$300,0))),"")</f>
        <v>0</v>
      </c>
      <c r="I57" s="53" t="str">
        <f>IFERROR(IF(SMALL(タスク!$AB$5:$AB$300,ROWS($A$7:A57))&gt;=1000000000000,"",INDEX(タスク!I$5:I$300,MATCH(SMALL(タスク!$AB$5:$AB$300,ROWS($A$7:A57)),タスク!$AB$5:$AB$300,0))),"")</f>
        <v>Walkerの状態クラスとモデルあり。戦闘ループを完成</v>
      </c>
      <c r="J57" s="53">
        <f>IFERROR(IF(SMALL(タスク!$AB$5:$AB$300,ROWS($A$7:A57))&gt;=1000000000000,"",INDEX(タスク!J$5:J$300,MATCH(SMALL(タスク!$AB$5:$AB$300,ROWS($A$7:A57)),タスク!$AB$5:$AB$300,0))),"")</f>
        <v>0</v>
      </c>
    </row>
    <row r="58" spans="1:10">
      <c r="A58" s="53" t="str">
        <f>IFERROR(IF(SMALL(タスク!$AB$5:$AB$300,ROWS($A$7:A58))&gt;=1000000000000,"",INDEX(タスク!A$5:A$300,MATCH(SMALL(タスク!$AB$5:$AB$300,ROWS($A$7:A58)),タスク!$AB$5:$AB$300,0))),"")</f>
        <v>T054</v>
      </c>
      <c r="B58" s="53" t="str">
        <f>IFERROR(IF(SMALL(タスク!$AB$5:$AB$300,ROWS($A$7:A58))&gt;=1000000000000,"",INDEX(タスク!B$5:B$300,MATCH(SMALL(タスク!$AB$5:$AB$300,ROWS($A$7:A58)),タスク!$AB$5:$AB$300,0))),"")</f>
        <v>ベータ</v>
      </c>
      <c r="C58" s="53" t="str">
        <f>IFERROR(IF(SMALL(タスク!$AB$5:$AB$300,ROWS($A$7:A58))&gt;=1000000000000,"",INDEX(タスク!C$5:C$300,MATCH(SMALL(タスク!$AB$5:$AB$300,ROWS($A$7:A58)),タスク!$AB$5:$AB$300,0))),"")</f>
        <v>テスト</v>
      </c>
      <c r="D58" s="53" t="str">
        <f>IFERROR(IF(SMALL(タスク!$AB$5:$AB$300,ROWS($A$7:A58))&gt;=1000000000000,"",INDEX(タスク!D$5:D$300,MATCH(SMALL(タスク!$AB$5:$AB$300,ROWS($A$7:A58)),タスク!$AB$5:$AB$300,0))),"")</f>
        <v>戦闘・ハッキング・ステージの通し調整</v>
      </c>
      <c r="E58" s="53" t="str">
        <f>IFERROR(IF(SMALL(タスク!$AB$5:$AB$300,ROWS($A$7:A58))&gt;=1000000000000,"",INDEX(タスク!E$5:E$300,MATCH(SMALL(タスク!$AB$5:$AB$300,ROWS($A$7:A58)),タスク!$AB$5:$AB$300,0))),"")</f>
        <v>S</v>
      </c>
      <c r="F58" s="53" t="str">
        <f>IFERROR(IF(SMALL(タスク!$AB$5:$AB$300,ROWS($A$7:A58))&gt;=1000000000000,"",INDEX(タスク!F$5:F$300,MATCH(SMALL(タスク!$AB$5:$AB$300,ROWS($A$7:A58)),タスク!$AB$5:$AB$300,0))),"")</f>
        <v>計画追加</v>
      </c>
      <c r="G58" s="53">
        <f>IFERROR(IF(SMALL(タスク!$AB$5:$AB$300,ROWS($A$7:A58))&gt;=1000000000000,"",INDEX(タスク!G$5:G$300,MATCH(SMALL(タスク!$AB$5:$AB$300,ROWS($A$7:A58)),タスク!$AB$5:$AB$300,0))),"")</f>
        <v>10</v>
      </c>
      <c r="H58" s="53">
        <f>IFERROR(IF(SMALL(タスク!$AB$5:$AB$300,ROWS($A$7:A58))&gt;=1000000000000,"",INDEX(タスク!H$5:H$300,MATCH(SMALL(タスク!$AB$5:$AB$300,ROWS($A$7:A58)),タスク!$AB$5:$AB$300,0))),"")</f>
        <v>0</v>
      </c>
      <c r="I58" s="53" t="str">
        <f>IFERROR(IF(SMALL(タスク!$AB$5:$AB$300,ROWS($A$7:A58))&gt;=1000000000000,"",INDEX(タスク!I$5:I$300,MATCH(SMALL(タスク!$AB$5:$AB$300,ROWS($A$7:A58)),タスク!$AB$5:$AB$300,0))),"")</f>
        <v>結合時の難易度・操作性・不具合修正</v>
      </c>
      <c r="J58" s="53">
        <f>IFERROR(IF(SMALL(タスク!$AB$5:$AB$300,ROWS($A$7:A58))&gt;=1000000000000,"",INDEX(タスク!J$5:J$300,MATCH(SMALL(タスク!$AB$5:$AB$300,ROWS($A$7:A58)),タスク!$AB$5:$AB$300,0))),"")</f>
        <v>0</v>
      </c>
    </row>
    <row r="59" spans="1:10">
      <c r="A59" s="53" t="str">
        <f>IFERROR(IF(SMALL(タスク!$AB$5:$AB$300,ROWS($A$7:A59))&gt;=1000000000000,"",INDEX(タスク!A$5:A$300,MATCH(SMALL(タスク!$AB$5:$AB$300,ROWS($A$7:A59)),タスク!$AB$5:$AB$300,0))),"")</f>
        <v>T037</v>
      </c>
      <c r="B59" s="53" t="str">
        <f>IFERROR(IF(SMALL(タスク!$AB$5:$AB$300,ROWS($A$7:A59))&gt;=1000000000000,"",INDEX(タスク!B$5:B$300,MATCH(SMALL(タスク!$AB$5:$AB$300,ROWS($A$7:A59)),タスク!$AB$5:$AB$300,0))),"")</f>
        <v>ベータ</v>
      </c>
      <c r="C59" s="53" t="str">
        <f>IFERROR(IF(SMALL(タスク!$AB$5:$AB$300,ROWS($A$7:A59))&gt;=1000000000000,"",INDEX(タスク!C$5:C$300,MATCH(SMALL(タスク!$AB$5:$AB$300,ROWS($A$7:A59)),タスク!$AB$5:$AB$300,0))),"")</f>
        <v>演出</v>
      </c>
      <c r="D59" s="53" t="str">
        <f>IFERROR(IF(SMALL(タスク!$AB$5:$AB$300,ROWS($A$7:A59))&gt;=1000000000000,"",INDEX(タスク!D$5:D$300,MATCH(SMALL(タスク!$AB$5:$AB$300,ROWS($A$7:A59)),タスク!$AB$5:$AB$300,0))),"")</f>
        <v>サウンド実装</v>
      </c>
      <c r="E59" s="53" t="str">
        <f>IFERROR(IF(SMALL(タスク!$AB$5:$AB$300,ROWS($A$7:A59))&gt;=1000000000000,"",INDEX(タスク!E$5:E$300,MATCH(SMALL(タスク!$AB$5:$AB$300,ROWS($A$7:A59)),タスク!$AB$5:$AB$300,0))),"")</f>
        <v>S</v>
      </c>
      <c r="F59" s="53" t="str">
        <f>IFERROR(IF(SMALL(タスク!$AB$5:$AB$300,ROWS($A$7:A59))&gt;=1000000000000,"",INDEX(タスク!F$5:F$300,MATCH(SMALL(タスク!$AB$5:$AB$300,ROWS($A$7:A59)),タスク!$AB$5:$AB$300,0))),"")</f>
        <v>未着手</v>
      </c>
      <c r="G59" s="53">
        <f>IFERROR(IF(SMALL(タスク!$AB$5:$AB$300,ROWS($A$7:A59))&gt;=1000000000000,"",INDEX(タスク!G$5:G$300,MATCH(SMALL(タスク!$AB$5:$AB$300,ROWS($A$7:A59)),タスク!$AB$5:$AB$300,0))),"")</f>
        <v>4</v>
      </c>
      <c r="H59" s="53">
        <f>IFERROR(IF(SMALL(タスク!$AB$5:$AB$300,ROWS($A$7:A59))&gt;=1000000000000,"",INDEX(タスク!H$5:H$300,MATCH(SMALL(タスク!$AB$5:$AB$300,ROWS($A$7:A59)),タスク!$AB$5:$AB$300,0))),"")</f>
        <v>0</v>
      </c>
      <c r="I59" s="53" t="str">
        <f>IFERROR(IF(SMALL(タスク!$AB$5:$AB$300,ROWS($A$7:A59))&gt;=1000000000000,"",INDEX(タスク!I$5:I$300,MATCH(SMALL(タスク!$AB$5:$AB$300,ROWS($A$7:A59)),タスク!$AB$5:$AB$300,0))),"")</f>
        <v>元表の項目</v>
      </c>
      <c r="J59" s="53">
        <f>IFERROR(IF(SMALL(タスク!$AB$5:$AB$300,ROWS($A$7:A59))&gt;=1000000000000,"",INDEX(タスク!J$5:J$300,MATCH(SMALL(タスク!$AB$5:$AB$300,ROWS($A$7:A59)),タスク!$AB$5:$AB$300,0))),"")</f>
        <v>0</v>
      </c>
    </row>
    <row r="60" spans="1:10">
      <c r="A60" s="53" t="str">
        <f>IFERROR(IF(SMALL(タスク!$AB$5:$AB$300,ROWS($A$7:A60))&gt;=1000000000000,"",INDEX(タスク!A$5:A$300,MATCH(SMALL(タスク!$AB$5:$AB$300,ROWS($A$7:A60)),タスク!$AB$5:$AB$300,0))),"")</f>
        <v>T055</v>
      </c>
      <c r="B60" s="53" t="str">
        <f>IFERROR(IF(SMALL(タスク!$AB$5:$AB$300,ROWS($A$7:A60))&gt;=1000000000000,"",INDEX(タスク!B$5:B$300,MATCH(SMALL(タスク!$AB$5:$AB$300,ROWS($A$7:A60)),タスク!$AB$5:$AB$300,0))),"")</f>
        <v>ベータ</v>
      </c>
      <c r="C60" s="53" t="str">
        <f>IFERROR(IF(SMALL(タスク!$AB$5:$AB$300,ROWS($A$7:A60))&gt;=1000000000000,"",INDEX(タスク!C$5:C$300,MATCH(SMALL(タスク!$AB$5:$AB$300,ROWS($A$7:A60)),タスク!$AB$5:$AB$300,0))),"")</f>
        <v>演出</v>
      </c>
      <c r="D60" s="53" t="str">
        <f>IFERROR(IF(SMALL(タスク!$AB$5:$AB$300,ROWS($A$7:A60))&gt;=1000000000000,"",INDEX(タスク!D$5:D$300,MATCH(SMALL(タスク!$AB$5:$AB$300,ROWS($A$7:A60)),タスク!$AB$5:$AB$300,0))),"")</f>
        <v>Walker装甲テクスチャと見た目反映</v>
      </c>
      <c r="E60" s="53" t="str">
        <f>IFERROR(IF(SMALL(タスク!$AB$5:$AB$300,ROWS($A$7:A60))&gt;=1000000000000,"",INDEX(タスク!E$5:E$300,MATCH(SMALL(タスク!$AB$5:$AB$300,ROWS($A$7:A60)),タスク!$AB$5:$AB$300,0))),"")</f>
        <v>A</v>
      </c>
      <c r="F60" s="53" t="str">
        <f>IFERROR(IF(SMALL(タスク!$AB$5:$AB$300,ROWS($A$7:A60))&gt;=1000000000000,"",INDEX(タスク!F$5:F$300,MATCH(SMALL(タスク!$AB$5:$AB$300,ROWS($A$7:A60)),タスク!$AB$5:$AB$300,0))),"")</f>
        <v>計画追加</v>
      </c>
      <c r="G60" s="53">
        <f>IFERROR(IF(SMALL(タスク!$AB$5:$AB$300,ROWS($A$7:A60))&gt;=1000000000000,"",INDEX(タスク!G$5:G$300,MATCH(SMALL(タスク!$AB$5:$AB$300,ROWS($A$7:A60)),タスク!$AB$5:$AB$300,0))),"")</f>
        <v>6</v>
      </c>
      <c r="H60" s="53">
        <f>IFERROR(IF(SMALL(タスク!$AB$5:$AB$300,ROWS($A$7:A60))&gt;=1000000000000,"",INDEX(タスク!H$5:H$300,MATCH(SMALL(タスク!$AB$5:$AB$300,ROWS($A$7:A60)),タスク!$AB$5:$AB$300,0))),"")</f>
        <v>0</v>
      </c>
      <c r="I60" s="53" t="str">
        <f>IFERROR(IF(SMALL(タスク!$AB$5:$AB$300,ROWS($A$7:A60))&gt;=1000000000000,"",INDEX(タスク!I$5:I$300,MATCH(SMALL(タスク!$AB$5:$AB$300,ROWS($A$7:A60)),タスク!$AB$5:$AB$300,0))),"")</f>
        <v>装甲展開・水色強調の見た目をゲーム素材へ反映</v>
      </c>
      <c r="J60" s="53">
        <f>IFERROR(IF(SMALL(タスク!$AB$5:$AB$300,ROWS($A$7:A60))&gt;=1000000000000,"",INDEX(タスク!J$5:J$300,MATCH(SMALL(タスク!$AB$5:$AB$300,ROWS($A$7:A60)),タスク!$AB$5:$AB$300,0))),"")</f>
        <v>0</v>
      </c>
    </row>
    <row r="61" spans="1:10">
      <c r="A61" s="53" t="str">
        <f>IFERROR(IF(SMALL(タスク!$AB$5:$AB$300,ROWS($A$7:A61))&gt;=1000000000000,"",INDEX(タスク!A$5:A$300,MATCH(SMALL(タスク!$AB$5:$AB$300,ROWS($A$7:A61)),タスク!$AB$5:$AB$300,0))),"")</f>
        <v>T033</v>
      </c>
      <c r="B61" s="53" t="str">
        <f>IFERROR(IF(SMALL(タスク!$AB$5:$AB$300,ROWS($A$7:A61))&gt;=1000000000000,"",INDEX(タスク!B$5:B$300,MATCH(SMALL(タスク!$AB$5:$AB$300,ROWS($A$7:A61)),タスク!$AB$5:$AB$300,0))),"")</f>
        <v>ベータ</v>
      </c>
      <c r="C61" s="53" t="str">
        <f>IFERROR(IF(SMALL(タスク!$AB$5:$AB$300,ROWS($A$7:A61))&gt;=1000000000000,"",INDEX(タスク!C$5:C$300,MATCH(SMALL(タスク!$AB$5:$AB$300,ROWS($A$7:A61)),タスク!$AB$5:$AB$300,0))),"")</f>
        <v>素材</v>
      </c>
      <c r="D61" s="53" t="str">
        <f>IFERROR(IF(SMALL(タスク!$AB$5:$AB$300,ROWS($A$7:A61))&gt;=1000000000000,"",INDEX(タスク!D$5:D$300,MATCH(SMALL(タスク!$AB$5:$AB$300,ROWS($A$7:A61)),タスク!$AB$5:$AB$300,0))),"")</f>
        <v>音素材</v>
      </c>
      <c r="E61" s="53" t="str">
        <f>IFERROR(IF(SMALL(タスク!$AB$5:$AB$300,ROWS($A$7:A61))&gt;=1000000000000,"",INDEX(タスク!E$5:E$300,MATCH(SMALL(タスク!$AB$5:$AB$300,ROWS($A$7:A61)),タスク!$AB$5:$AB$300,0))),"")</f>
        <v>S</v>
      </c>
      <c r="F61" s="53" t="str">
        <f>IFERROR(IF(SMALL(タスク!$AB$5:$AB$300,ROWS($A$7:A61))&gt;=1000000000000,"",INDEX(タスク!F$5:F$300,MATCH(SMALL(タスク!$AB$5:$AB$300,ROWS($A$7:A61)),タスク!$AB$5:$AB$300,0))),"")</f>
        <v>未着手</v>
      </c>
      <c r="G61" s="53">
        <f>IFERROR(IF(SMALL(タスク!$AB$5:$AB$300,ROWS($A$7:A61))&gt;=1000000000000,"",INDEX(タスク!G$5:G$300,MATCH(SMALL(タスク!$AB$5:$AB$300,ROWS($A$7:A61)),タスク!$AB$5:$AB$300,0))),"")</f>
        <v>5</v>
      </c>
      <c r="H61" s="53">
        <f>IFERROR(IF(SMALL(タスク!$AB$5:$AB$300,ROWS($A$7:A61))&gt;=1000000000000,"",INDEX(タスク!H$5:H$300,MATCH(SMALL(タスク!$AB$5:$AB$300,ROWS($A$7:A61)),タスク!$AB$5:$AB$300,0))),"")</f>
        <v>0</v>
      </c>
      <c r="I61" s="53" t="str">
        <f>IFERROR(IF(SMALL(タスク!$AB$5:$AB$300,ROWS($A$7:A61))&gt;=1000000000000,"",INDEX(タスク!I$5:I$300,MATCH(SMALL(タスク!$AB$5:$AB$300,ROWS($A$7:A61)),タスク!$AB$5:$AB$300,0))),"")</f>
        <v>元表の項目</v>
      </c>
      <c r="J61" s="53">
        <f>IFERROR(IF(SMALL(タスク!$AB$5:$AB$300,ROWS($A$7:A61))&gt;=1000000000000,"",INDEX(タスク!J$5:J$300,MATCH(SMALL(タスク!$AB$5:$AB$300,ROWS($A$7:A61)),タスク!$AB$5:$AB$300,0))),"")</f>
        <v>0</v>
      </c>
    </row>
    <row r="62" spans="1:10">
      <c r="A62" s="53" t="str">
        <f>IFERROR(IF(SMALL(タスク!$AB$5:$AB$300,ROWS($A$7:A62))&gt;=1000000000000,"",INDEX(タスク!A$5:A$300,MATCH(SMALL(タスク!$AB$5:$AB$300,ROWS($A$7:A62)),タスク!$AB$5:$AB$300,0))),"")</f>
        <v>T056</v>
      </c>
      <c r="B62" s="53" t="str">
        <f>IFERROR(IF(SMALL(タスク!$AB$5:$AB$300,ROWS($A$7:A62))&gt;=1000000000000,"",INDEX(タスク!B$5:B$300,MATCH(SMALL(タスク!$AB$5:$AB$300,ROWS($A$7:A62)),タスク!$AB$5:$AB$300,0))),"")</f>
        <v>マスター</v>
      </c>
      <c r="C62" s="53" t="str">
        <f>IFERROR(IF(SMALL(タスク!$AB$5:$AB$300,ROWS($A$7:A62))&gt;=1000000000000,"",INDEX(タスク!C$5:C$300,MATCH(SMALL(タスク!$AB$5:$AB$300,ROWS($A$7:A62)),タスク!$AB$5:$AB$300,0))),"")</f>
        <v>仕上げ</v>
      </c>
      <c r="D62" s="53" t="str">
        <f>IFERROR(IF(SMALL(タスク!$AB$5:$AB$300,ROWS($A$7:A62))&gt;=1000000000000,"",INDEX(タスク!D$5:D$300,MATCH(SMALL(タスク!$AB$5:$AB$300,ROWS($A$7:A62)),タスク!$AB$5:$AB$300,0))),"")</f>
        <v>最終ビルド・操作説明・不具合修正</v>
      </c>
      <c r="E62" s="53" t="str">
        <f>IFERROR(IF(SMALL(タスク!$AB$5:$AB$300,ROWS($A$7:A62))&gt;=1000000000000,"",INDEX(タスク!E$5:E$300,MATCH(SMALL(タスク!$AB$5:$AB$300,ROWS($A$7:A62)),タスク!$AB$5:$AB$300,0))),"")</f>
        <v>S</v>
      </c>
      <c r="F62" s="53" t="str">
        <f>IFERROR(IF(SMALL(タスク!$AB$5:$AB$300,ROWS($A$7:A62))&gt;=1000000000000,"",INDEX(タスク!F$5:F$300,MATCH(SMALL(タスク!$AB$5:$AB$300,ROWS($A$7:A62)),タスク!$AB$5:$AB$300,0))),"")</f>
        <v>計画追加</v>
      </c>
      <c r="G62" s="53">
        <f>IFERROR(IF(SMALL(タスク!$AB$5:$AB$300,ROWS($A$7:A62))&gt;=1000000000000,"",INDEX(タスク!G$5:G$300,MATCH(SMALL(タスク!$AB$5:$AB$300,ROWS($A$7:A62)),タスク!$AB$5:$AB$300,0))),"")</f>
        <v>8</v>
      </c>
      <c r="H62" s="53">
        <f>IFERROR(IF(SMALL(タスク!$AB$5:$AB$300,ROWS($A$7:A62))&gt;=1000000000000,"",INDEX(タスク!H$5:H$300,MATCH(SMALL(タスク!$AB$5:$AB$300,ROWS($A$7:A62)),タスク!$AB$5:$AB$300,0))),"")</f>
        <v>0</v>
      </c>
      <c r="I62" s="53" t="str">
        <f>IFERROR(IF(SMALL(タスク!$AB$5:$AB$300,ROWS($A$7:A62))&gt;=1000000000000,"",INDEX(タスク!I$5:I$300,MATCH(SMALL(タスク!$AB$5:$AB$300,ROWS($A$7:A62)),タスク!$AB$5:$AB$300,0))),"")</f>
        <v>元表に独立項目なし</v>
      </c>
      <c r="J62" s="53" t="str">
        <f>IFERROR(IF(SMALL(タスク!$AB$5:$AB$300,ROWS($A$7:A62))&gt;=1000000000000,"",INDEX(タスク!J$5:J$300,MATCH(SMALL(タスク!$AB$5:$AB$300,ROWS($A$7:A62)),タスク!$AB$5:$AB$300,0))),"")</f>
        <v>配布ビルドで主要操作とシーン遷移を確認</v>
      </c>
    </row>
    <row r="63" spans="1:10">
      <c r="A63" s="53" t="str">
        <f>IFERROR(IF(SMALL(タスク!$AB$5:$AB$300,ROWS($A$7:A63))&gt;=1000000000000,"",INDEX(タスク!A$5:A$300,MATCH(SMALL(タスク!$AB$5:$AB$300,ROWS($A$7:A63)),タスク!$AB$5:$AB$300,0))),"")</f>
        <v/>
      </c>
      <c r="B63" s="53" t="str">
        <f>IFERROR(IF(SMALL(タスク!$AB$5:$AB$300,ROWS($A$7:A63))&gt;=1000000000000,"",INDEX(タスク!B$5:B$300,MATCH(SMALL(タスク!$AB$5:$AB$300,ROWS($A$7:A63)),タスク!$AB$5:$AB$300,0))),"")</f>
        <v/>
      </c>
      <c r="C63" s="53" t="str">
        <f>IFERROR(IF(SMALL(タスク!$AB$5:$AB$300,ROWS($A$7:A63))&gt;=1000000000000,"",INDEX(タスク!C$5:C$300,MATCH(SMALL(タスク!$AB$5:$AB$300,ROWS($A$7:A63)),タスク!$AB$5:$AB$300,0))),"")</f>
        <v/>
      </c>
      <c r="D63" s="53" t="str">
        <f>IFERROR(IF(SMALL(タスク!$AB$5:$AB$300,ROWS($A$7:A63))&gt;=1000000000000,"",INDEX(タスク!D$5:D$300,MATCH(SMALL(タスク!$AB$5:$AB$300,ROWS($A$7:A63)),タスク!$AB$5:$AB$300,0))),"")</f>
        <v/>
      </c>
      <c r="E63" s="53" t="str">
        <f>IFERROR(IF(SMALL(タスク!$AB$5:$AB$300,ROWS($A$7:A63))&gt;=1000000000000,"",INDEX(タスク!E$5:E$300,MATCH(SMALL(タスク!$AB$5:$AB$300,ROWS($A$7:A63)),タスク!$AB$5:$AB$300,0))),"")</f>
        <v/>
      </c>
      <c r="F63" s="53" t="str">
        <f>IFERROR(IF(SMALL(タスク!$AB$5:$AB$300,ROWS($A$7:A63))&gt;=1000000000000,"",INDEX(タスク!F$5:F$300,MATCH(SMALL(タスク!$AB$5:$AB$300,ROWS($A$7:A63)),タスク!$AB$5:$AB$300,0))),"")</f>
        <v/>
      </c>
      <c r="G63" s="53" t="str">
        <f>IFERROR(IF(SMALL(タスク!$AB$5:$AB$300,ROWS($A$7:A63))&gt;=1000000000000,"",INDEX(タスク!G$5:G$300,MATCH(SMALL(タスク!$AB$5:$AB$300,ROWS($A$7:A63)),タスク!$AB$5:$AB$300,0))),"")</f>
        <v/>
      </c>
      <c r="H63" s="53" t="str">
        <f>IFERROR(IF(SMALL(タスク!$AB$5:$AB$300,ROWS($A$7:A63))&gt;=1000000000000,"",INDEX(タスク!H$5:H$300,MATCH(SMALL(タスク!$AB$5:$AB$300,ROWS($A$7:A63)),タスク!$AB$5:$AB$300,0))),"")</f>
        <v/>
      </c>
      <c r="I63" s="53" t="str">
        <f>IFERROR(IF(SMALL(タスク!$AB$5:$AB$300,ROWS($A$7:A63))&gt;=1000000000000,"",INDEX(タスク!I$5:I$300,MATCH(SMALL(タスク!$AB$5:$AB$300,ROWS($A$7:A63)),タスク!$AB$5:$AB$300,0))),"")</f>
        <v/>
      </c>
      <c r="J63" s="53" t="str">
        <f>IFERROR(IF(SMALL(タスク!$AB$5:$AB$300,ROWS($A$7:A63))&gt;=1000000000000,"",INDEX(タスク!J$5:J$300,MATCH(SMALL(タスク!$AB$5:$AB$300,ROWS($A$7:A63)),タスク!$AB$5:$AB$300,0))),"")</f>
        <v/>
      </c>
    </row>
    <row r="64" spans="1:10">
      <c r="A64" s="53" t="str">
        <f>IFERROR(IF(SMALL(タスク!$AB$5:$AB$300,ROWS($A$7:A64))&gt;=1000000000000,"",INDEX(タスク!A$5:A$300,MATCH(SMALL(タスク!$AB$5:$AB$300,ROWS($A$7:A64)),タスク!$AB$5:$AB$300,0))),"")</f>
        <v/>
      </c>
      <c r="B64" s="53" t="str">
        <f>IFERROR(IF(SMALL(タスク!$AB$5:$AB$300,ROWS($A$7:A64))&gt;=1000000000000,"",INDEX(タスク!B$5:B$300,MATCH(SMALL(タスク!$AB$5:$AB$300,ROWS($A$7:A64)),タスク!$AB$5:$AB$300,0))),"")</f>
        <v/>
      </c>
      <c r="C64" s="53" t="str">
        <f>IFERROR(IF(SMALL(タスク!$AB$5:$AB$300,ROWS($A$7:A64))&gt;=1000000000000,"",INDEX(タスク!C$5:C$300,MATCH(SMALL(タスク!$AB$5:$AB$300,ROWS($A$7:A64)),タスク!$AB$5:$AB$300,0))),"")</f>
        <v/>
      </c>
      <c r="D64" s="53" t="str">
        <f>IFERROR(IF(SMALL(タスク!$AB$5:$AB$300,ROWS($A$7:A64))&gt;=1000000000000,"",INDEX(タスク!D$5:D$300,MATCH(SMALL(タスク!$AB$5:$AB$300,ROWS($A$7:A64)),タスク!$AB$5:$AB$300,0))),"")</f>
        <v/>
      </c>
      <c r="E64" s="53" t="str">
        <f>IFERROR(IF(SMALL(タスク!$AB$5:$AB$300,ROWS($A$7:A64))&gt;=1000000000000,"",INDEX(タスク!E$5:E$300,MATCH(SMALL(タスク!$AB$5:$AB$300,ROWS($A$7:A64)),タスク!$AB$5:$AB$300,0))),"")</f>
        <v/>
      </c>
      <c r="F64" s="53" t="str">
        <f>IFERROR(IF(SMALL(タスク!$AB$5:$AB$300,ROWS($A$7:A64))&gt;=1000000000000,"",INDEX(タスク!F$5:F$300,MATCH(SMALL(タスク!$AB$5:$AB$300,ROWS($A$7:A64)),タスク!$AB$5:$AB$300,0))),"")</f>
        <v/>
      </c>
      <c r="G64" s="53" t="str">
        <f>IFERROR(IF(SMALL(タスク!$AB$5:$AB$300,ROWS($A$7:A64))&gt;=1000000000000,"",INDEX(タスク!G$5:G$300,MATCH(SMALL(タスク!$AB$5:$AB$300,ROWS($A$7:A64)),タスク!$AB$5:$AB$300,0))),"")</f>
        <v/>
      </c>
      <c r="H64" s="53" t="str">
        <f>IFERROR(IF(SMALL(タスク!$AB$5:$AB$300,ROWS($A$7:A64))&gt;=1000000000000,"",INDEX(タスク!H$5:H$300,MATCH(SMALL(タスク!$AB$5:$AB$300,ROWS($A$7:A64)),タスク!$AB$5:$AB$300,0))),"")</f>
        <v/>
      </c>
      <c r="I64" s="53" t="str">
        <f>IFERROR(IF(SMALL(タスク!$AB$5:$AB$300,ROWS($A$7:A64))&gt;=1000000000000,"",INDEX(タスク!I$5:I$300,MATCH(SMALL(タスク!$AB$5:$AB$300,ROWS($A$7:A64)),タスク!$AB$5:$AB$300,0))),"")</f>
        <v/>
      </c>
      <c r="J64" s="53" t="str">
        <f>IFERROR(IF(SMALL(タスク!$AB$5:$AB$300,ROWS($A$7:A64))&gt;=1000000000000,"",INDEX(タスク!J$5:J$300,MATCH(SMALL(タスク!$AB$5:$AB$300,ROWS($A$7:A64)),タスク!$AB$5:$AB$300,0))),"")</f>
        <v/>
      </c>
    </row>
    <row r="65" spans="1:10">
      <c r="A65" s="53" t="str">
        <f>IFERROR(IF(SMALL(タスク!$AB$5:$AB$300,ROWS($A$7:A65))&gt;=1000000000000,"",INDEX(タスク!A$5:A$300,MATCH(SMALL(タスク!$AB$5:$AB$300,ROWS($A$7:A65)),タスク!$AB$5:$AB$300,0))),"")</f>
        <v/>
      </c>
      <c r="B65" s="53" t="str">
        <f>IFERROR(IF(SMALL(タスク!$AB$5:$AB$300,ROWS($A$7:A65))&gt;=1000000000000,"",INDEX(タスク!B$5:B$300,MATCH(SMALL(タスク!$AB$5:$AB$300,ROWS($A$7:A65)),タスク!$AB$5:$AB$300,0))),"")</f>
        <v/>
      </c>
      <c r="C65" s="53" t="str">
        <f>IFERROR(IF(SMALL(タスク!$AB$5:$AB$300,ROWS($A$7:A65))&gt;=1000000000000,"",INDEX(タスク!C$5:C$300,MATCH(SMALL(タスク!$AB$5:$AB$300,ROWS($A$7:A65)),タスク!$AB$5:$AB$300,0))),"")</f>
        <v/>
      </c>
      <c r="D65" s="53" t="str">
        <f>IFERROR(IF(SMALL(タスク!$AB$5:$AB$300,ROWS($A$7:A65))&gt;=1000000000000,"",INDEX(タスク!D$5:D$300,MATCH(SMALL(タスク!$AB$5:$AB$300,ROWS($A$7:A65)),タスク!$AB$5:$AB$300,0))),"")</f>
        <v/>
      </c>
      <c r="E65" s="53" t="str">
        <f>IFERROR(IF(SMALL(タスク!$AB$5:$AB$300,ROWS($A$7:A65))&gt;=1000000000000,"",INDEX(タスク!E$5:E$300,MATCH(SMALL(タスク!$AB$5:$AB$300,ROWS($A$7:A65)),タスク!$AB$5:$AB$300,0))),"")</f>
        <v/>
      </c>
      <c r="F65" s="53" t="str">
        <f>IFERROR(IF(SMALL(タスク!$AB$5:$AB$300,ROWS($A$7:A65))&gt;=1000000000000,"",INDEX(タスク!F$5:F$300,MATCH(SMALL(タスク!$AB$5:$AB$300,ROWS($A$7:A65)),タスク!$AB$5:$AB$300,0))),"")</f>
        <v/>
      </c>
      <c r="G65" s="53" t="str">
        <f>IFERROR(IF(SMALL(タスク!$AB$5:$AB$300,ROWS($A$7:A65))&gt;=1000000000000,"",INDEX(タスク!G$5:G$300,MATCH(SMALL(タスク!$AB$5:$AB$300,ROWS($A$7:A65)),タスク!$AB$5:$AB$300,0))),"")</f>
        <v/>
      </c>
      <c r="H65" s="53" t="str">
        <f>IFERROR(IF(SMALL(タスク!$AB$5:$AB$300,ROWS($A$7:A65))&gt;=1000000000000,"",INDEX(タスク!H$5:H$300,MATCH(SMALL(タスク!$AB$5:$AB$300,ROWS($A$7:A65)),タスク!$AB$5:$AB$300,0))),"")</f>
        <v/>
      </c>
      <c r="I65" s="53" t="str">
        <f>IFERROR(IF(SMALL(タスク!$AB$5:$AB$300,ROWS($A$7:A65))&gt;=1000000000000,"",INDEX(タスク!I$5:I$300,MATCH(SMALL(タスク!$AB$5:$AB$300,ROWS($A$7:A65)),タスク!$AB$5:$AB$300,0))),"")</f>
        <v/>
      </c>
      <c r="J65" s="53" t="str">
        <f>IFERROR(IF(SMALL(タスク!$AB$5:$AB$300,ROWS($A$7:A65))&gt;=1000000000000,"",INDEX(タスク!J$5:J$300,MATCH(SMALL(タスク!$AB$5:$AB$300,ROWS($A$7:A65)),タスク!$AB$5:$AB$300,0))),"")</f>
        <v/>
      </c>
    </row>
    <row r="66" spans="1:10">
      <c r="A66" s="53" t="str">
        <f>IFERROR(IF(SMALL(タスク!$AB$5:$AB$300,ROWS($A$7:A66))&gt;=1000000000000,"",INDEX(タスク!A$5:A$300,MATCH(SMALL(タスク!$AB$5:$AB$300,ROWS($A$7:A66)),タスク!$AB$5:$AB$300,0))),"")</f>
        <v/>
      </c>
      <c r="B66" s="53" t="str">
        <f>IFERROR(IF(SMALL(タスク!$AB$5:$AB$300,ROWS($A$7:A66))&gt;=1000000000000,"",INDEX(タスク!B$5:B$300,MATCH(SMALL(タスク!$AB$5:$AB$300,ROWS($A$7:A66)),タスク!$AB$5:$AB$300,0))),"")</f>
        <v/>
      </c>
      <c r="C66" s="53" t="str">
        <f>IFERROR(IF(SMALL(タスク!$AB$5:$AB$300,ROWS($A$7:A66))&gt;=1000000000000,"",INDEX(タスク!C$5:C$300,MATCH(SMALL(タスク!$AB$5:$AB$300,ROWS($A$7:A66)),タスク!$AB$5:$AB$300,0))),"")</f>
        <v/>
      </c>
      <c r="D66" s="53" t="str">
        <f>IFERROR(IF(SMALL(タスク!$AB$5:$AB$300,ROWS($A$7:A66))&gt;=1000000000000,"",INDEX(タスク!D$5:D$300,MATCH(SMALL(タスク!$AB$5:$AB$300,ROWS($A$7:A66)),タスク!$AB$5:$AB$300,0))),"")</f>
        <v/>
      </c>
      <c r="E66" s="53" t="str">
        <f>IFERROR(IF(SMALL(タスク!$AB$5:$AB$300,ROWS($A$7:A66))&gt;=1000000000000,"",INDEX(タスク!E$5:E$300,MATCH(SMALL(タスク!$AB$5:$AB$300,ROWS($A$7:A66)),タスク!$AB$5:$AB$300,0))),"")</f>
        <v/>
      </c>
      <c r="F66" s="53" t="str">
        <f>IFERROR(IF(SMALL(タスク!$AB$5:$AB$300,ROWS($A$7:A66))&gt;=1000000000000,"",INDEX(タスク!F$5:F$300,MATCH(SMALL(タスク!$AB$5:$AB$300,ROWS($A$7:A66)),タスク!$AB$5:$AB$300,0))),"")</f>
        <v/>
      </c>
      <c r="G66" s="53" t="str">
        <f>IFERROR(IF(SMALL(タスク!$AB$5:$AB$300,ROWS($A$7:A66))&gt;=1000000000000,"",INDEX(タスク!G$5:G$300,MATCH(SMALL(タスク!$AB$5:$AB$300,ROWS($A$7:A66)),タスク!$AB$5:$AB$300,0))),"")</f>
        <v/>
      </c>
      <c r="H66" s="53" t="str">
        <f>IFERROR(IF(SMALL(タスク!$AB$5:$AB$300,ROWS($A$7:A66))&gt;=1000000000000,"",INDEX(タスク!H$5:H$300,MATCH(SMALL(タスク!$AB$5:$AB$300,ROWS($A$7:A66)),タスク!$AB$5:$AB$300,0))),"")</f>
        <v/>
      </c>
      <c r="I66" s="53" t="str">
        <f>IFERROR(IF(SMALL(タスク!$AB$5:$AB$300,ROWS($A$7:A66))&gt;=1000000000000,"",INDEX(タスク!I$5:I$300,MATCH(SMALL(タスク!$AB$5:$AB$300,ROWS($A$7:A66)),タスク!$AB$5:$AB$300,0))),"")</f>
        <v/>
      </c>
      <c r="J66" s="53" t="str">
        <f>IFERROR(IF(SMALL(タスク!$AB$5:$AB$300,ROWS($A$7:A66))&gt;=1000000000000,"",INDEX(タスク!J$5:J$300,MATCH(SMALL(タスク!$AB$5:$AB$300,ROWS($A$7:A66)),タスク!$AB$5:$AB$300,0))),"")</f>
        <v/>
      </c>
    </row>
    <row r="67" spans="1:10">
      <c r="A67" s="53" t="str">
        <f>IFERROR(IF(SMALL(タスク!$AB$5:$AB$300,ROWS($A$7:A67))&gt;=1000000000000,"",INDEX(タスク!A$5:A$300,MATCH(SMALL(タスク!$AB$5:$AB$300,ROWS($A$7:A67)),タスク!$AB$5:$AB$300,0))),"")</f>
        <v/>
      </c>
      <c r="B67" s="53" t="str">
        <f>IFERROR(IF(SMALL(タスク!$AB$5:$AB$300,ROWS($A$7:A67))&gt;=1000000000000,"",INDEX(タスク!B$5:B$300,MATCH(SMALL(タスク!$AB$5:$AB$300,ROWS($A$7:A67)),タスク!$AB$5:$AB$300,0))),"")</f>
        <v/>
      </c>
      <c r="C67" s="53" t="str">
        <f>IFERROR(IF(SMALL(タスク!$AB$5:$AB$300,ROWS($A$7:A67))&gt;=1000000000000,"",INDEX(タスク!C$5:C$300,MATCH(SMALL(タスク!$AB$5:$AB$300,ROWS($A$7:A67)),タスク!$AB$5:$AB$300,0))),"")</f>
        <v/>
      </c>
      <c r="D67" s="53" t="str">
        <f>IFERROR(IF(SMALL(タスク!$AB$5:$AB$300,ROWS($A$7:A67))&gt;=1000000000000,"",INDEX(タスク!D$5:D$300,MATCH(SMALL(タスク!$AB$5:$AB$300,ROWS($A$7:A67)),タスク!$AB$5:$AB$300,0))),"")</f>
        <v/>
      </c>
      <c r="E67" s="53" t="str">
        <f>IFERROR(IF(SMALL(タスク!$AB$5:$AB$300,ROWS($A$7:A67))&gt;=1000000000000,"",INDEX(タスク!E$5:E$300,MATCH(SMALL(タスク!$AB$5:$AB$300,ROWS($A$7:A67)),タスク!$AB$5:$AB$300,0))),"")</f>
        <v/>
      </c>
      <c r="F67" s="53" t="str">
        <f>IFERROR(IF(SMALL(タスク!$AB$5:$AB$300,ROWS($A$7:A67))&gt;=1000000000000,"",INDEX(タスク!F$5:F$300,MATCH(SMALL(タスク!$AB$5:$AB$300,ROWS($A$7:A67)),タスク!$AB$5:$AB$300,0))),"")</f>
        <v/>
      </c>
      <c r="G67" s="53" t="str">
        <f>IFERROR(IF(SMALL(タスク!$AB$5:$AB$300,ROWS($A$7:A67))&gt;=1000000000000,"",INDEX(タスク!G$5:G$300,MATCH(SMALL(タスク!$AB$5:$AB$300,ROWS($A$7:A67)),タスク!$AB$5:$AB$300,0))),"")</f>
        <v/>
      </c>
      <c r="H67" s="53" t="str">
        <f>IFERROR(IF(SMALL(タスク!$AB$5:$AB$300,ROWS($A$7:A67))&gt;=1000000000000,"",INDEX(タスク!H$5:H$300,MATCH(SMALL(タスク!$AB$5:$AB$300,ROWS($A$7:A67)),タスク!$AB$5:$AB$300,0))),"")</f>
        <v/>
      </c>
      <c r="I67" s="53" t="str">
        <f>IFERROR(IF(SMALL(タスク!$AB$5:$AB$300,ROWS($A$7:A67))&gt;=1000000000000,"",INDEX(タスク!I$5:I$300,MATCH(SMALL(タスク!$AB$5:$AB$300,ROWS($A$7:A67)),タスク!$AB$5:$AB$300,0))),"")</f>
        <v/>
      </c>
      <c r="J67" s="53" t="str">
        <f>IFERROR(IF(SMALL(タスク!$AB$5:$AB$300,ROWS($A$7:A67))&gt;=1000000000000,"",INDEX(タスク!J$5:J$300,MATCH(SMALL(タスク!$AB$5:$AB$300,ROWS($A$7:A67)),タスク!$AB$5:$AB$300,0))),"")</f>
        <v/>
      </c>
    </row>
    <row r="68" spans="1:10">
      <c r="A68" s="53" t="str">
        <f>IFERROR(IF(SMALL(タスク!$AB$5:$AB$300,ROWS($A$7:A68))&gt;=1000000000000,"",INDEX(タスク!A$5:A$300,MATCH(SMALL(タスク!$AB$5:$AB$300,ROWS($A$7:A68)),タスク!$AB$5:$AB$300,0))),"")</f>
        <v/>
      </c>
      <c r="B68" s="53" t="str">
        <f>IFERROR(IF(SMALL(タスク!$AB$5:$AB$300,ROWS($A$7:A68))&gt;=1000000000000,"",INDEX(タスク!B$5:B$300,MATCH(SMALL(タスク!$AB$5:$AB$300,ROWS($A$7:A68)),タスク!$AB$5:$AB$300,0))),"")</f>
        <v/>
      </c>
      <c r="C68" s="53" t="str">
        <f>IFERROR(IF(SMALL(タスク!$AB$5:$AB$300,ROWS($A$7:A68))&gt;=1000000000000,"",INDEX(タスク!C$5:C$300,MATCH(SMALL(タスク!$AB$5:$AB$300,ROWS($A$7:A68)),タスク!$AB$5:$AB$300,0))),"")</f>
        <v/>
      </c>
      <c r="D68" s="53" t="str">
        <f>IFERROR(IF(SMALL(タスク!$AB$5:$AB$300,ROWS($A$7:A68))&gt;=1000000000000,"",INDEX(タスク!D$5:D$300,MATCH(SMALL(タスク!$AB$5:$AB$300,ROWS($A$7:A68)),タスク!$AB$5:$AB$300,0))),"")</f>
        <v/>
      </c>
      <c r="E68" s="53" t="str">
        <f>IFERROR(IF(SMALL(タスク!$AB$5:$AB$300,ROWS($A$7:A68))&gt;=1000000000000,"",INDEX(タスク!E$5:E$300,MATCH(SMALL(タスク!$AB$5:$AB$300,ROWS($A$7:A68)),タスク!$AB$5:$AB$300,0))),"")</f>
        <v/>
      </c>
      <c r="F68" s="53" t="str">
        <f>IFERROR(IF(SMALL(タスク!$AB$5:$AB$300,ROWS($A$7:A68))&gt;=1000000000000,"",INDEX(タスク!F$5:F$300,MATCH(SMALL(タスク!$AB$5:$AB$300,ROWS($A$7:A68)),タスク!$AB$5:$AB$300,0))),"")</f>
        <v/>
      </c>
      <c r="G68" s="53" t="str">
        <f>IFERROR(IF(SMALL(タスク!$AB$5:$AB$300,ROWS($A$7:A68))&gt;=1000000000000,"",INDEX(タスク!G$5:G$300,MATCH(SMALL(タスク!$AB$5:$AB$300,ROWS($A$7:A68)),タスク!$AB$5:$AB$300,0))),"")</f>
        <v/>
      </c>
      <c r="H68" s="53" t="str">
        <f>IFERROR(IF(SMALL(タスク!$AB$5:$AB$300,ROWS($A$7:A68))&gt;=1000000000000,"",INDEX(タスク!H$5:H$300,MATCH(SMALL(タスク!$AB$5:$AB$300,ROWS($A$7:A68)),タスク!$AB$5:$AB$300,0))),"")</f>
        <v/>
      </c>
      <c r="I68" s="53" t="str">
        <f>IFERROR(IF(SMALL(タスク!$AB$5:$AB$300,ROWS($A$7:A68))&gt;=1000000000000,"",INDEX(タスク!I$5:I$300,MATCH(SMALL(タスク!$AB$5:$AB$300,ROWS($A$7:A68)),タスク!$AB$5:$AB$300,0))),"")</f>
        <v/>
      </c>
      <c r="J68" s="53" t="str">
        <f>IFERROR(IF(SMALL(タスク!$AB$5:$AB$300,ROWS($A$7:A68))&gt;=1000000000000,"",INDEX(タスク!J$5:J$300,MATCH(SMALL(タスク!$AB$5:$AB$300,ROWS($A$7:A68)),タスク!$AB$5:$AB$300,0))),"")</f>
        <v/>
      </c>
    </row>
    <row r="69" spans="1:10">
      <c r="A69" s="53" t="str">
        <f>IFERROR(IF(SMALL(タスク!$AB$5:$AB$300,ROWS($A$7:A69))&gt;=1000000000000,"",INDEX(タスク!A$5:A$300,MATCH(SMALL(タスク!$AB$5:$AB$300,ROWS($A$7:A69)),タスク!$AB$5:$AB$300,0))),"")</f>
        <v/>
      </c>
      <c r="B69" s="53" t="str">
        <f>IFERROR(IF(SMALL(タスク!$AB$5:$AB$300,ROWS($A$7:A69))&gt;=1000000000000,"",INDEX(タスク!B$5:B$300,MATCH(SMALL(タスク!$AB$5:$AB$300,ROWS($A$7:A69)),タスク!$AB$5:$AB$300,0))),"")</f>
        <v/>
      </c>
      <c r="C69" s="53" t="str">
        <f>IFERROR(IF(SMALL(タスク!$AB$5:$AB$300,ROWS($A$7:A69))&gt;=1000000000000,"",INDEX(タスク!C$5:C$300,MATCH(SMALL(タスク!$AB$5:$AB$300,ROWS($A$7:A69)),タスク!$AB$5:$AB$300,0))),"")</f>
        <v/>
      </c>
      <c r="D69" s="53" t="str">
        <f>IFERROR(IF(SMALL(タスク!$AB$5:$AB$300,ROWS($A$7:A69))&gt;=1000000000000,"",INDEX(タスク!D$5:D$300,MATCH(SMALL(タスク!$AB$5:$AB$300,ROWS($A$7:A69)),タスク!$AB$5:$AB$300,0))),"")</f>
        <v/>
      </c>
      <c r="E69" s="53" t="str">
        <f>IFERROR(IF(SMALL(タスク!$AB$5:$AB$300,ROWS($A$7:A69))&gt;=1000000000000,"",INDEX(タスク!E$5:E$300,MATCH(SMALL(タスク!$AB$5:$AB$300,ROWS($A$7:A69)),タスク!$AB$5:$AB$300,0))),"")</f>
        <v/>
      </c>
      <c r="F69" s="53" t="str">
        <f>IFERROR(IF(SMALL(タスク!$AB$5:$AB$300,ROWS($A$7:A69))&gt;=1000000000000,"",INDEX(タスク!F$5:F$300,MATCH(SMALL(タスク!$AB$5:$AB$300,ROWS($A$7:A69)),タスク!$AB$5:$AB$300,0))),"")</f>
        <v/>
      </c>
      <c r="G69" s="53" t="str">
        <f>IFERROR(IF(SMALL(タスク!$AB$5:$AB$300,ROWS($A$7:A69))&gt;=1000000000000,"",INDEX(タスク!G$5:G$300,MATCH(SMALL(タスク!$AB$5:$AB$300,ROWS($A$7:A69)),タスク!$AB$5:$AB$300,0))),"")</f>
        <v/>
      </c>
      <c r="H69" s="53" t="str">
        <f>IFERROR(IF(SMALL(タスク!$AB$5:$AB$300,ROWS($A$7:A69))&gt;=1000000000000,"",INDEX(タスク!H$5:H$300,MATCH(SMALL(タスク!$AB$5:$AB$300,ROWS($A$7:A69)),タスク!$AB$5:$AB$300,0))),"")</f>
        <v/>
      </c>
      <c r="I69" s="53" t="str">
        <f>IFERROR(IF(SMALL(タスク!$AB$5:$AB$300,ROWS($A$7:A69))&gt;=1000000000000,"",INDEX(タスク!I$5:I$300,MATCH(SMALL(タスク!$AB$5:$AB$300,ROWS($A$7:A69)),タスク!$AB$5:$AB$300,0))),"")</f>
        <v/>
      </c>
      <c r="J69" s="53" t="str">
        <f>IFERROR(IF(SMALL(タスク!$AB$5:$AB$300,ROWS($A$7:A69))&gt;=1000000000000,"",INDEX(タスク!J$5:J$300,MATCH(SMALL(タスク!$AB$5:$AB$300,ROWS($A$7:A69)),タスク!$AB$5:$AB$300,0))),"")</f>
        <v/>
      </c>
    </row>
    <row r="70" spans="1:10">
      <c r="A70" s="53" t="str">
        <f>IFERROR(IF(SMALL(タスク!$AB$5:$AB$300,ROWS($A$7:A70))&gt;=1000000000000,"",INDEX(タスク!A$5:A$300,MATCH(SMALL(タスク!$AB$5:$AB$300,ROWS($A$7:A70)),タスク!$AB$5:$AB$300,0))),"")</f>
        <v/>
      </c>
      <c r="B70" s="53" t="str">
        <f>IFERROR(IF(SMALL(タスク!$AB$5:$AB$300,ROWS($A$7:A70))&gt;=1000000000000,"",INDEX(タスク!B$5:B$300,MATCH(SMALL(タスク!$AB$5:$AB$300,ROWS($A$7:A70)),タスク!$AB$5:$AB$300,0))),"")</f>
        <v/>
      </c>
      <c r="C70" s="53" t="str">
        <f>IFERROR(IF(SMALL(タスク!$AB$5:$AB$300,ROWS($A$7:A70))&gt;=1000000000000,"",INDEX(タスク!C$5:C$300,MATCH(SMALL(タスク!$AB$5:$AB$300,ROWS($A$7:A70)),タスク!$AB$5:$AB$300,0))),"")</f>
        <v/>
      </c>
      <c r="D70" s="53" t="str">
        <f>IFERROR(IF(SMALL(タスク!$AB$5:$AB$300,ROWS($A$7:A70))&gt;=1000000000000,"",INDEX(タスク!D$5:D$300,MATCH(SMALL(タスク!$AB$5:$AB$300,ROWS($A$7:A70)),タスク!$AB$5:$AB$300,0))),"")</f>
        <v/>
      </c>
      <c r="E70" s="53" t="str">
        <f>IFERROR(IF(SMALL(タスク!$AB$5:$AB$300,ROWS($A$7:A70))&gt;=1000000000000,"",INDEX(タスク!E$5:E$300,MATCH(SMALL(タスク!$AB$5:$AB$300,ROWS($A$7:A70)),タスク!$AB$5:$AB$300,0))),"")</f>
        <v/>
      </c>
      <c r="F70" s="53" t="str">
        <f>IFERROR(IF(SMALL(タスク!$AB$5:$AB$300,ROWS($A$7:A70))&gt;=1000000000000,"",INDEX(タスク!F$5:F$300,MATCH(SMALL(タスク!$AB$5:$AB$300,ROWS($A$7:A70)),タスク!$AB$5:$AB$300,0))),"")</f>
        <v/>
      </c>
      <c r="G70" s="53" t="str">
        <f>IFERROR(IF(SMALL(タスク!$AB$5:$AB$300,ROWS($A$7:A70))&gt;=1000000000000,"",INDEX(タスク!G$5:G$300,MATCH(SMALL(タスク!$AB$5:$AB$300,ROWS($A$7:A70)),タスク!$AB$5:$AB$300,0))),"")</f>
        <v/>
      </c>
      <c r="H70" s="53" t="str">
        <f>IFERROR(IF(SMALL(タスク!$AB$5:$AB$300,ROWS($A$7:A70))&gt;=1000000000000,"",INDEX(タスク!H$5:H$300,MATCH(SMALL(タスク!$AB$5:$AB$300,ROWS($A$7:A70)),タスク!$AB$5:$AB$300,0))),"")</f>
        <v/>
      </c>
      <c r="I70" s="53" t="str">
        <f>IFERROR(IF(SMALL(タスク!$AB$5:$AB$300,ROWS($A$7:A70))&gt;=1000000000000,"",INDEX(タスク!I$5:I$300,MATCH(SMALL(タスク!$AB$5:$AB$300,ROWS($A$7:A70)),タスク!$AB$5:$AB$300,0))),"")</f>
        <v/>
      </c>
      <c r="J70" s="53" t="str">
        <f>IFERROR(IF(SMALL(タスク!$AB$5:$AB$300,ROWS($A$7:A70))&gt;=1000000000000,"",INDEX(タスク!J$5:J$300,MATCH(SMALL(タスク!$AB$5:$AB$300,ROWS($A$7:A70)),タスク!$AB$5:$AB$300,0))),"")</f>
        <v/>
      </c>
    </row>
    <row r="71" spans="1:10">
      <c r="A71" s="53" t="str">
        <f>IFERROR(IF(SMALL(タスク!$AB$5:$AB$300,ROWS($A$7:A71))&gt;=1000000000000,"",INDEX(タスク!A$5:A$300,MATCH(SMALL(タスク!$AB$5:$AB$300,ROWS($A$7:A71)),タスク!$AB$5:$AB$300,0))),"")</f>
        <v/>
      </c>
      <c r="B71" s="53" t="str">
        <f>IFERROR(IF(SMALL(タスク!$AB$5:$AB$300,ROWS($A$7:A71))&gt;=1000000000000,"",INDEX(タスク!B$5:B$300,MATCH(SMALL(タスク!$AB$5:$AB$300,ROWS($A$7:A71)),タスク!$AB$5:$AB$300,0))),"")</f>
        <v/>
      </c>
      <c r="C71" s="53" t="str">
        <f>IFERROR(IF(SMALL(タスク!$AB$5:$AB$300,ROWS($A$7:A71))&gt;=1000000000000,"",INDEX(タスク!C$5:C$300,MATCH(SMALL(タスク!$AB$5:$AB$300,ROWS($A$7:A71)),タスク!$AB$5:$AB$300,0))),"")</f>
        <v/>
      </c>
      <c r="D71" s="53" t="str">
        <f>IFERROR(IF(SMALL(タスク!$AB$5:$AB$300,ROWS($A$7:A71))&gt;=1000000000000,"",INDEX(タスク!D$5:D$300,MATCH(SMALL(タスク!$AB$5:$AB$300,ROWS($A$7:A71)),タスク!$AB$5:$AB$300,0))),"")</f>
        <v/>
      </c>
      <c r="E71" s="53" t="str">
        <f>IFERROR(IF(SMALL(タスク!$AB$5:$AB$300,ROWS($A$7:A71))&gt;=1000000000000,"",INDEX(タスク!E$5:E$300,MATCH(SMALL(タスク!$AB$5:$AB$300,ROWS($A$7:A71)),タスク!$AB$5:$AB$300,0))),"")</f>
        <v/>
      </c>
      <c r="F71" s="53" t="str">
        <f>IFERROR(IF(SMALL(タスク!$AB$5:$AB$300,ROWS($A$7:A71))&gt;=1000000000000,"",INDEX(タスク!F$5:F$300,MATCH(SMALL(タスク!$AB$5:$AB$300,ROWS($A$7:A71)),タスク!$AB$5:$AB$300,0))),"")</f>
        <v/>
      </c>
      <c r="G71" s="53" t="str">
        <f>IFERROR(IF(SMALL(タスク!$AB$5:$AB$300,ROWS($A$7:A71))&gt;=1000000000000,"",INDEX(タスク!G$5:G$300,MATCH(SMALL(タスク!$AB$5:$AB$300,ROWS($A$7:A71)),タスク!$AB$5:$AB$300,0))),"")</f>
        <v/>
      </c>
      <c r="H71" s="53" t="str">
        <f>IFERROR(IF(SMALL(タスク!$AB$5:$AB$300,ROWS($A$7:A71))&gt;=1000000000000,"",INDEX(タスク!H$5:H$300,MATCH(SMALL(タスク!$AB$5:$AB$300,ROWS($A$7:A71)),タスク!$AB$5:$AB$300,0))),"")</f>
        <v/>
      </c>
      <c r="I71" s="53" t="str">
        <f>IFERROR(IF(SMALL(タスク!$AB$5:$AB$300,ROWS($A$7:A71))&gt;=1000000000000,"",INDEX(タスク!I$5:I$300,MATCH(SMALL(タスク!$AB$5:$AB$300,ROWS($A$7:A71)),タスク!$AB$5:$AB$300,0))),"")</f>
        <v/>
      </c>
      <c r="J71" s="53" t="str">
        <f>IFERROR(IF(SMALL(タスク!$AB$5:$AB$300,ROWS($A$7:A71))&gt;=1000000000000,"",INDEX(タスク!J$5:J$300,MATCH(SMALL(タスク!$AB$5:$AB$300,ROWS($A$7:A71)),タスク!$AB$5:$AB$300,0))),"")</f>
        <v/>
      </c>
    </row>
    <row r="72" spans="1:10">
      <c r="A72" s="53" t="str">
        <f>IFERROR(IF(SMALL(タスク!$AB$5:$AB$300,ROWS($A$7:A72))&gt;=1000000000000,"",INDEX(タスク!A$5:A$300,MATCH(SMALL(タスク!$AB$5:$AB$300,ROWS($A$7:A72)),タスク!$AB$5:$AB$300,0))),"")</f>
        <v/>
      </c>
      <c r="B72" s="53" t="str">
        <f>IFERROR(IF(SMALL(タスク!$AB$5:$AB$300,ROWS($A$7:A72))&gt;=1000000000000,"",INDEX(タスク!B$5:B$300,MATCH(SMALL(タスク!$AB$5:$AB$300,ROWS($A$7:A72)),タスク!$AB$5:$AB$300,0))),"")</f>
        <v/>
      </c>
      <c r="C72" s="53" t="str">
        <f>IFERROR(IF(SMALL(タスク!$AB$5:$AB$300,ROWS($A$7:A72))&gt;=1000000000000,"",INDEX(タスク!C$5:C$300,MATCH(SMALL(タスク!$AB$5:$AB$300,ROWS($A$7:A72)),タスク!$AB$5:$AB$300,0))),"")</f>
        <v/>
      </c>
      <c r="D72" s="53" t="str">
        <f>IFERROR(IF(SMALL(タスク!$AB$5:$AB$300,ROWS($A$7:A72))&gt;=1000000000000,"",INDEX(タスク!D$5:D$300,MATCH(SMALL(タスク!$AB$5:$AB$300,ROWS($A$7:A72)),タスク!$AB$5:$AB$300,0))),"")</f>
        <v/>
      </c>
      <c r="E72" s="53" t="str">
        <f>IFERROR(IF(SMALL(タスク!$AB$5:$AB$300,ROWS($A$7:A72))&gt;=1000000000000,"",INDEX(タスク!E$5:E$300,MATCH(SMALL(タスク!$AB$5:$AB$300,ROWS($A$7:A72)),タスク!$AB$5:$AB$300,0))),"")</f>
        <v/>
      </c>
      <c r="F72" s="53" t="str">
        <f>IFERROR(IF(SMALL(タスク!$AB$5:$AB$300,ROWS($A$7:A72))&gt;=1000000000000,"",INDEX(タスク!F$5:F$300,MATCH(SMALL(タスク!$AB$5:$AB$300,ROWS($A$7:A72)),タスク!$AB$5:$AB$300,0))),"")</f>
        <v/>
      </c>
      <c r="G72" s="53" t="str">
        <f>IFERROR(IF(SMALL(タスク!$AB$5:$AB$300,ROWS($A$7:A72))&gt;=1000000000000,"",INDEX(タスク!G$5:G$300,MATCH(SMALL(タスク!$AB$5:$AB$300,ROWS($A$7:A72)),タスク!$AB$5:$AB$300,0))),"")</f>
        <v/>
      </c>
      <c r="H72" s="53" t="str">
        <f>IFERROR(IF(SMALL(タスク!$AB$5:$AB$300,ROWS($A$7:A72))&gt;=1000000000000,"",INDEX(タスク!H$5:H$300,MATCH(SMALL(タスク!$AB$5:$AB$300,ROWS($A$7:A72)),タスク!$AB$5:$AB$300,0))),"")</f>
        <v/>
      </c>
      <c r="I72" s="53" t="str">
        <f>IFERROR(IF(SMALL(タスク!$AB$5:$AB$300,ROWS($A$7:A72))&gt;=1000000000000,"",INDEX(タスク!I$5:I$300,MATCH(SMALL(タスク!$AB$5:$AB$300,ROWS($A$7:A72)),タスク!$AB$5:$AB$300,0))),"")</f>
        <v/>
      </c>
      <c r="J72" s="53" t="str">
        <f>IFERROR(IF(SMALL(タスク!$AB$5:$AB$300,ROWS($A$7:A72))&gt;=1000000000000,"",INDEX(タスク!J$5:J$300,MATCH(SMALL(タスク!$AB$5:$AB$300,ROWS($A$7:A72)),タスク!$AB$5:$AB$300,0))),"")</f>
        <v/>
      </c>
    </row>
    <row r="73" spans="1:10">
      <c r="A73" s="53" t="str">
        <f>IFERROR(IF(SMALL(タスク!$AB$5:$AB$300,ROWS($A$7:A73))&gt;=1000000000000,"",INDEX(タスク!A$5:A$300,MATCH(SMALL(タスク!$AB$5:$AB$300,ROWS($A$7:A73)),タスク!$AB$5:$AB$300,0))),"")</f>
        <v/>
      </c>
      <c r="B73" s="53" t="str">
        <f>IFERROR(IF(SMALL(タスク!$AB$5:$AB$300,ROWS($A$7:A73))&gt;=1000000000000,"",INDEX(タスク!B$5:B$300,MATCH(SMALL(タスク!$AB$5:$AB$300,ROWS($A$7:A73)),タスク!$AB$5:$AB$300,0))),"")</f>
        <v/>
      </c>
      <c r="C73" s="53" t="str">
        <f>IFERROR(IF(SMALL(タスク!$AB$5:$AB$300,ROWS($A$7:A73))&gt;=1000000000000,"",INDEX(タスク!C$5:C$300,MATCH(SMALL(タスク!$AB$5:$AB$300,ROWS($A$7:A73)),タスク!$AB$5:$AB$300,0))),"")</f>
        <v/>
      </c>
      <c r="D73" s="53" t="str">
        <f>IFERROR(IF(SMALL(タスク!$AB$5:$AB$300,ROWS($A$7:A73))&gt;=1000000000000,"",INDEX(タスク!D$5:D$300,MATCH(SMALL(タスク!$AB$5:$AB$300,ROWS($A$7:A73)),タスク!$AB$5:$AB$300,0))),"")</f>
        <v/>
      </c>
      <c r="E73" s="53" t="str">
        <f>IFERROR(IF(SMALL(タスク!$AB$5:$AB$300,ROWS($A$7:A73))&gt;=1000000000000,"",INDEX(タスク!E$5:E$300,MATCH(SMALL(タスク!$AB$5:$AB$300,ROWS($A$7:A73)),タスク!$AB$5:$AB$300,0))),"")</f>
        <v/>
      </c>
      <c r="F73" s="53" t="str">
        <f>IFERROR(IF(SMALL(タスク!$AB$5:$AB$300,ROWS($A$7:A73))&gt;=1000000000000,"",INDEX(タスク!F$5:F$300,MATCH(SMALL(タスク!$AB$5:$AB$300,ROWS($A$7:A73)),タスク!$AB$5:$AB$300,0))),"")</f>
        <v/>
      </c>
      <c r="G73" s="53" t="str">
        <f>IFERROR(IF(SMALL(タスク!$AB$5:$AB$300,ROWS($A$7:A73))&gt;=1000000000000,"",INDEX(タスク!G$5:G$300,MATCH(SMALL(タスク!$AB$5:$AB$300,ROWS($A$7:A73)),タスク!$AB$5:$AB$300,0))),"")</f>
        <v/>
      </c>
      <c r="H73" s="53" t="str">
        <f>IFERROR(IF(SMALL(タスク!$AB$5:$AB$300,ROWS($A$7:A73))&gt;=1000000000000,"",INDEX(タスク!H$5:H$300,MATCH(SMALL(タスク!$AB$5:$AB$300,ROWS($A$7:A73)),タスク!$AB$5:$AB$300,0))),"")</f>
        <v/>
      </c>
      <c r="I73" s="53" t="str">
        <f>IFERROR(IF(SMALL(タスク!$AB$5:$AB$300,ROWS($A$7:A73))&gt;=1000000000000,"",INDEX(タスク!I$5:I$300,MATCH(SMALL(タスク!$AB$5:$AB$300,ROWS($A$7:A73)),タスク!$AB$5:$AB$300,0))),"")</f>
        <v/>
      </c>
      <c r="J73" s="53" t="str">
        <f>IFERROR(IF(SMALL(タスク!$AB$5:$AB$300,ROWS($A$7:A73))&gt;=1000000000000,"",INDEX(タスク!J$5:J$300,MATCH(SMALL(タスク!$AB$5:$AB$300,ROWS($A$7:A73)),タスク!$AB$5:$AB$300,0))),"")</f>
        <v/>
      </c>
    </row>
    <row r="74" spans="1:10">
      <c r="A74" s="53" t="str">
        <f>IFERROR(IF(SMALL(タスク!$AB$5:$AB$300,ROWS($A$7:A74))&gt;=1000000000000,"",INDEX(タスク!A$5:A$300,MATCH(SMALL(タスク!$AB$5:$AB$300,ROWS($A$7:A74)),タスク!$AB$5:$AB$300,0))),"")</f>
        <v/>
      </c>
      <c r="B74" s="53" t="str">
        <f>IFERROR(IF(SMALL(タスク!$AB$5:$AB$300,ROWS($A$7:A74))&gt;=1000000000000,"",INDEX(タスク!B$5:B$300,MATCH(SMALL(タスク!$AB$5:$AB$300,ROWS($A$7:A74)),タスク!$AB$5:$AB$300,0))),"")</f>
        <v/>
      </c>
      <c r="C74" s="53" t="str">
        <f>IFERROR(IF(SMALL(タスク!$AB$5:$AB$300,ROWS($A$7:A74))&gt;=1000000000000,"",INDEX(タスク!C$5:C$300,MATCH(SMALL(タスク!$AB$5:$AB$300,ROWS($A$7:A74)),タスク!$AB$5:$AB$300,0))),"")</f>
        <v/>
      </c>
      <c r="D74" s="53" t="str">
        <f>IFERROR(IF(SMALL(タスク!$AB$5:$AB$300,ROWS($A$7:A74))&gt;=1000000000000,"",INDEX(タスク!D$5:D$300,MATCH(SMALL(タスク!$AB$5:$AB$300,ROWS($A$7:A74)),タスク!$AB$5:$AB$300,0))),"")</f>
        <v/>
      </c>
      <c r="E74" s="53" t="str">
        <f>IFERROR(IF(SMALL(タスク!$AB$5:$AB$300,ROWS($A$7:A74))&gt;=1000000000000,"",INDEX(タスク!E$5:E$300,MATCH(SMALL(タスク!$AB$5:$AB$300,ROWS($A$7:A74)),タスク!$AB$5:$AB$300,0))),"")</f>
        <v/>
      </c>
      <c r="F74" s="53" t="str">
        <f>IFERROR(IF(SMALL(タスク!$AB$5:$AB$300,ROWS($A$7:A74))&gt;=1000000000000,"",INDEX(タスク!F$5:F$300,MATCH(SMALL(タスク!$AB$5:$AB$300,ROWS($A$7:A74)),タスク!$AB$5:$AB$300,0))),"")</f>
        <v/>
      </c>
      <c r="G74" s="53" t="str">
        <f>IFERROR(IF(SMALL(タスク!$AB$5:$AB$300,ROWS($A$7:A74))&gt;=1000000000000,"",INDEX(タスク!G$5:G$300,MATCH(SMALL(タスク!$AB$5:$AB$300,ROWS($A$7:A74)),タスク!$AB$5:$AB$300,0))),"")</f>
        <v/>
      </c>
      <c r="H74" s="53" t="str">
        <f>IFERROR(IF(SMALL(タスク!$AB$5:$AB$300,ROWS($A$7:A74))&gt;=1000000000000,"",INDEX(タスク!H$5:H$300,MATCH(SMALL(タスク!$AB$5:$AB$300,ROWS($A$7:A74)),タスク!$AB$5:$AB$300,0))),"")</f>
        <v/>
      </c>
      <c r="I74" s="53" t="str">
        <f>IFERROR(IF(SMALL(タスク!$AB$5:$AB$300,ROWS($A$7:A74))&gt;=1000000000000,"",INDEX(タスク!I$5:I$300,MATCH(SMALL(タスク!$AB$5:$AB$300,ROWS($A$7:A74)),タスク!$AB$5:$AB$300,0))),"")</f>
        <v/>
      </c>
      <c r="J74" s="53" t="str">
        <f>IFERROR(IF(SMALL(タスク!$AB$5:$AB$300,ROWS($A$7:A74))&gt;=1000000000000,"",INDEX(タスク!J$5:J$300,MATCH(SMALL(タスク!$AB$5:$AB$300,ROWS($A$7:A74)),タスク!$AB$5:$AB$300,0))),"")</f>
        <v/>
      </c>
    </row>
    <row r="75" spans="1:10">
      <c r="A75" s="53" t="str">
        <f>IFERROR(IF(SMALL(タスク!$AB$5:$AB$300,ROWS($A$7:A75))&gt;=1000000000000,"",INDEX(タスク!A$5:A$300,MATCH(SMALL(タスク!$AB$5:$AB$300,ROWS($A$7:A75)),タスク!$AB$5:$AB$300,0))),"")</f>
        <v/>
      </c>
      <c r="B75" s="53" t="str">
        <f>IFERROR(IF(SMALL(タスク!$AB$5:$AB$300,ROWS($A$7:A75))&gt;=1000000000000,"",INDEX(タスク!B$5:B$300,MATCH(SMALL(タスク!$AB$5:$AB$300,ROWS($A$7:A75)),タスク!$AB$5:$AB$300,0))),"")</f>
        <v/>
      </c>
      <c r="C75" s="53" t="str">
        <f>IFERROR(IF(SMALL(タスク!$AB$5:$AB$300,ROWS($A$7:A75))&gt;=1000000000000,"",INDEX(タスク!C$5:C$300,MATCH(SMALL(タスク!$AB$5:$AB$300,ROWS($A$7:A75)),タスク!$AB$5:$AB$300,0))),"")</f>
        <v/>
      </c>
      <c r="D75" s="53" t="str">
        <f>IFERROR(IF(SMALL(タスク!$AB$5:$AB$300,ROWS($A$7:A75))&gt;=1000000000000,"",INDEX(タスク!D$5:D$300,MATCH(SMALL(タスク!$AB$5:$AB$300,ROWS($A$7:A75)),タスク!$AB$5:$AB$300,0))),"")</f>
        <v/>
      </c>
      <c r="E75" s="53" t="str">
        <f>IFERROR(IF(SMALL(タスク!$AB$5:$AB$300,ROWS($A$7:A75))&gt;=1000000000000,"",INDEX(タスク!E$5:E$300,MATCH(SMALL(タスク!$AB$5:$AB$300,ROWS($A$7:A75)),タスク!$AB$5:$AB$300,0))),"")</f>
        <v/>
      </c>
      <c r="F75" s="53" t="str">
        <f>IFERROR(IF(SMALL(タスク!$AB$5:$AB$300,ROWS($A$7:A75))&gt;=1000000000000,"",INDEX(タスク!F$5:F$300,MATCH(SMALL(タスク!$AB$5:$AB$300,ROWS($A$7:A75)),タスク!$AB$5:$AB$300,0))),"")</f>
        <v/>
      </c>
      <c r="G75" s="53" t="str">
        <f>IFERROR(IF(SMALL(タスク!$AB$5:$AB$300,ROWS($A$7:A75))&gt;=1000000000000,"",INDEX(タスク!G$5:G$300,MATCH(SMALL(タスク!$AB$5:$AB$300,ROWS($A$7:A75)),タスク!$AB$5:$AB$300,0))),"")</f>
        <v/>
      </c>
      <c r="H75" s="53" t="str">
        <f>IFERROR(IF(SMALL(タスク!$AB$5:$AB$300,ROWS($A$7:A75))&gt;=1000000000000,"",INDEX(タスク!H$5:H$300,MATCH(SMALL(タスク!$AB$5:$AB$300,ROWS($A$7:A75)),タスク!$AB$5:$AB$300,0))),"")</f>
        <v/>
      </c>
      <c r="I75" s="53" t="str">
        <f>IFERROR(IF(SMALL(タスク!$AB$5:$AB$300,ROWS($A$7:A75))&gt;=1000000000000,"",INDEX(タスク!I$5:I$300,MATCH(SMALL(タスク!$AB$5:$AB$300,ROWS($A$7:A75)),タスク!$AB$5:$AB$300,0))),"")</f>
        <v/>
      </c>
      <c r="J75" s="53" t="str">
        <f>IFERROR(IF(SMALL(タスク!$AB$5:$AB$300,ROWS($A$7:A75))&gt;=1000000000000,"",INDEX(タスク!J$5:J$300,MATCH(SMALL(タスク!$AB$5:$AB$300,ROWS($A$7:A75)),タスク!$AB$5:$AB$300,0))),"")</f>
        <v/>
      </c>
    </row>
    <row r="76" spans="1:10">
      <c r="A76" s="53" t="str">
        <f>IFERROR(IF(SMALL(タスク!$AB$5:$AB$300,ROWS($A$7:A76))&gt;=1000000000000,"",INDEX(タスク!A$5:A$300,MATCH(SMALL(タスク!$AB$5:$AB$300,ROWS($A$7:A76)),タスク!$AB$5:$AB$300,0))),"")</f>
        <v/>
      </c>
      <c r="B76" s="53" t="str">
        <f>IFERROR(IF(SMALL(タスク!$AB$5:$AB$300,ROWS($A$7:A76))&gt;=1000000000000,"",INDEX(タスク!B$5:B$300,MATCH(SMALL(タスク!$AB$5:$AB$300,ROWS($A$7:A76)),タスク!$AB$5:$AB$300,0))),"")</f>
        <v/>
      </c>
      <c r="C76" s="53" t="str">
        <f>IFERROR(IF(SMALL(タスク!$AB$5:$AB$300,ROWS($A$7:A76))&gt;=1000000000000,"",INDEX(タスク!C$5:C$300,MATCH(SMALL(タスク!$AB$5:$AB$300,ROWS($A$7:A76)),タスク!$AB$5:$AB$300,0))),"")</f>
        <v/>
      </c>
      <c r="D76" s="53" t="str">
        <f>IFERROR(IF(SMALL(タスク!$AB$5:$AB$300,ROWS($A$7:A76))&gt;=1000000000000,"",INDEX(タスク!D$5:D$300,MATCH(SMALL(タスク!$AB$5:$AB$300,ROWS($A$7:A76)),タスク!$AB$5:$AB$300,0))),"")</f>
        <v/>
      </c>
      <c r="E76" s="53" t="str">
        <f>IFERROR(IF(SMALL(タスク!$AB$5:$AB$300,ROWS($A$7:A76))&gt;=1000000000000,"",INDEX(タスク!E$5:E$300,MATCH(SMALL(タスク!$AB$5:$AB$300,ROWS($A$7:A76)),タスク!$AB$5:$AB$300,0))),"")</f>
        <v/>
      </c>
      <c r="F76" s="53" t="str">
        <f>IFERROR(IF(SMALL(タスク!$AB$5:$AB$300,ROWS($A$7:A76))&gt;=1000000000000,"",INDEX(タスク!F$5:F$300,MATCH(SMALL(タスク!$AB$5:$AB$300,ROWS($A$7:A76)),タスク!$AB$5:$AB$300,0))),"")</f>
        <v/>
      </c>
      <c r="G76" s="53" t="str">
        <f>IFERROR(IF(SMALL(タスク!$AB$5:$AB$300,ROWS($A$7:A76))&gt;=1000000000000,"",INDEX(タスク!G$5:G$300,MATCH(SMALL(タスク!$AB$5:$AB$300,ROWS($A$7:A76)),タスク!$AB$5:$AB$300,0))),"")</f>
        <v/>
      </c>
      <c r="H76" s="53" t="str">
        <f>IFERROR(IF(SMALL(タスク!$AB$5:$AB$300,ROWS($A$7:A76))&gt;=1000000000000,"",INDEX(タスク!H$5:H$300,MATCH(SMALL(タスク!$AB$5:$AB$300,ROWS($A$7:A76)),タスク!$AB$5:$AB$300,0))),"")</f>
        <v/>
      </c>
      <c r="I76" s="53" t="str">
        <f>IFERROR(IF(SMALL(タスク!$AB$5:$AB$300,ROWS($A$7:A76))&gt;=1000000000000,"",INDEX(タスク!I$5:I$300,MATCH(SMALL(タスク!$AB$5:$AB$300,ROWS($A$7:A76)),タスク!$AB$5:$AB$300,0))),"")</f>
        <v/>
      </c>
      <c r="J76" s="53" t="str">
        <f>IFERROR(IF(SMALL(タスク!$AB$5:$AB$300,ROWS($A$7:A76))&gt;=1000000000000,"",INDEX(タスク!J$5:J$300,MATCH(SMALL(タスク!$AB$5:$AB$300,ROWS($A$7:A76)),タスク!$AB$5:$AB$300,0))),"")</f>
        <v/>
      </c>
    </row>
    <row r="77" spans="1:10">
      <c r="A77" s="53" t="str">
        <f>IFERROR(IF(SMALL(タスク!$AB$5:$AB$300,ROWS($A$7:A77))&gt;=1000000000000,"",INDEX(タスク!A$5:A$300,MATCH(SMALL(タスク!$AB$5:$AB$300,ROWS($A$7:A77)),タスク!$AB$5:$AB$300,0))),"")</f>
        <v/>
      </c>
      <c r="B77" s="53" t="str">
        <f>IFERROR(IF(SMALL(タスク!$AB$5:$AB$300,ROWS($A$7:A77))&gt;=1000000000000,"",INDEX(タスク!B$5:B$300,MATCH(SMALL(タスク!$AB$5:$AB$300,ROWS($A$7:A77)),タスク!$AB$5:$AB$300,0))),"")</f>
        <v/>
      </c>
      <c r="C77" s="53" t="str">
        <f>IFERROR(IF(SMALL(タスク!$AB$5:$AB$300,ROWS($A$7:A77))&gt;=1000000000000,"",INDEX(タスク!C$5:C$300,MATCH(SMALL(タスク!$AB$5:$AB$300,ROWS($A$7:A77)),タスク!$AB$5:$AB$300,0))),"")</f>
        <v/>
      </c>
      <c r="D77" s="53" t="str">
        <f>IFERROR(IF(SMALL(タスク!$AB$5:$AB$300,ROWS($A$7:A77))&gt;=1000000000000,"",INDEX(タスク!D$5:D$300,MATCH(SMALL(タスク!$AB$5:$AB$300,ROWS($A$7:A77)),タスク!$AB$5:$AB$300,0))),"")</f>
        <v/>
      </c>
      <c r="E77" s="53" t="str">
        <f>IFERROR(IF(SMALL(タスク!$AB$5:$AB$300,ROWS($A$7:A77))&gt;=1000000000000,"",INDEX(タスク!E$5:E$300,MATCH(SMALL(タスク!$AB$5:$AB$300,ROWS($A$7:A77)),タスク!$AB$5:$AB$300,0))),"")</f>
        <v/>
      </c>
      <c r="F77" s="53" t="str">
        <f>IFERROR(IF(SMALL(タスク!$AB$5:$AB$300,ROWS($A$7:A77))&gt;=1000000000000,"",INDEX(タスク!F$5:F$300,MATCH(SMALL(タスク!$AB$5:$AB$300,ROWS($A$7:A77)),タスク!$AB$5:$AB$300,0))),"")</f>
        <v/>
      </c>
      <c r="G77" s="53" t="str">
        <f>IFERROR(IF(SMALL(タスク!$AB$5:$AB$300,ROWS($A$7:A77))&gt;=1000000000000,"",INDEX(タスク!G$5:G$300,MATCH(SMALL(タスク!$AB$5:$AB$300,ROWS($A$7:A77)),タスク!$AB$5:$AB$300,0))),"")</f>
        <v/>
      </c>
      <c r="H77" s="53" t="str">
        <f>IFERROR(IF(SMALL(タスク!$AB$5:$AB$300,ROWS($A$7:A77))&gt;=1000000000000,"",INDEX(タスク!H$5:H$300,MATCH(SMALL(タスク!$AB$5:$AB$300,ROWS($A$7:A77)),タスク!$AB$5:$AB$300,0))),"")</f>
        <v/>
      </c>
      <c r="I77" s="53" t="str">
        <f>IFERROR(IF(SMALL(タスク!$AB$5:$AB$300,ROWS($A$7:A77))&gt;=1000000000000,"",INDEX(タスク!I$5:I$300,MATCH(SMALL(タスク!$AB$5:$AB$300,ROWS($A$7:A77)),タスク!$AB$5:$AB$300,0))),"")</f>
        <v/>
      </c>
      <c r="J77" s="53" t="str">
        <f>IFERROR(IF(SMALL(タスク!$AB$5:$AB$300,ROWS($A$7:A77))&gt;=1000000000000,"",INDEX(タスク!J$5:J$300,MATCH(SMALL(タスク!$AB$5:$AB$300,ROWS($A$7:A77)),タスク!$AB$5:$AB$300,0))),"")</f>
        <v/>
      </c>
    </row>
    <row r="78" spans="1:10">
      <c r="A78" s="53" t="str">
        <f>IFERROR(IF(SMALL(タスク!$AB$5:$AB$300,ROWS($A$7:A78))&gt;=1000000000000,"",INDEX(タスク!A$5:A$300,MATCH(SMALL(タスク!$AB$5:$AB$300,ROWS($A$7:A78)),タスク!$AB$5:$AB$300,0))),"")</f>
        <v/>
      </c>
      <c r="B78" s="53" t="str">
        <f>IFERROR(IF(SMALL(タスク!$AB$5:$AB$300,ROWS($A$7:A78))&gt;=1000000000000,"",INDEX(タスク!B$5:B$300,MATCH(SMALL(タスク!$AB$5:$AB$300,ROWS($A$7:A78)),タスク!$AB$5:$AB$300,0))),"")</f>
        <v/>
      </c>
      <c r="C78" s="53" t="str">
        <f>IFERROR(IF(SMALL(タスク!$AB$5:$AB$300,ROWS($A$7:A78))&gt;=1000000000000,"",INDEX(タスク!C$5:C$300,MATCH(SMALL(タスク!$AB$5:$AB$300,ROWS($A$7:A78)),タスク!$AB$5:$AB$300,0))),"")</f>
        <v/>
      </c>
      <c r="D78" s="53" t="str">
        <f>IFERROR(IF(SMALL(タスク!$AB$5:$AB$300,ROWS($A$7:A78))&gt;=1000000000000,"",INDEX(タスク!D$5:D$300,MATCH(SMALL(タスク!$AB$5:$AB$300,ROWS($A$7:A78)),タスク!$AB$5:$AB$300,0))),"")</f>
        <v/>
      </c>
      <c r="E78" s="53" t="str">
        <f>IFERROR(IF(SMALL(タスク!$AB$5:$AB$300,ROWS($A$7:A78))&gt;=1000000000000,"",INDEX(タスク!E$5:E$300,MATCH(SMALL(タスク!$AB$5:$AB$300,ROWS($A$7:A78)),タスク!$AB$5:$AB$300,0))),"")</f>
        <v/>
      </c>
      <c r="F78" s="53" t="str">
        <f>IFERROR(IF(SMALL(タスク!$AB$5:$AB$300,ROWS($A$7:A78))&gt;=1000000000000,"",INDEX(タスク!F$5:F$300,MATCH(SMALL(タスク!$AB$5:$AB$300,ROWS($A$7:A78)),タスク!$AB$5:$AB$300,0))),"")</f>
        <v/>
      </c>
      <c r="G78" s="53" t="str">
        <f>IFERROR(IF(SMALL(タスク!$AB$5:$AB$300,ROWS($A$7:A78))&gt;=1000000000000,"",INDEX(タスク!G$5:G$300,MATCH(SMALL(タスク!$AB$5:$AB$300,ROWS($A$7:A78)),タスク!$AB$5:$AB$300,0))),"")</f>
        <v/>
      </c>
      <c r="H78" s="53" t="str">
        <f>IFERROR(IF(SMALL(タスク!$AB$5:$AB$300,ROWS($A$7:A78))&gt;=1000000000000,"",INDEX(タスク!H$5:H$300,MATCH(SMALL(タスク!$AB$5:$AB$300,ROWS($A$7:A78)),タスク!$AB$5:$AB$300,0))),"")</f>
        <v/>
      </c>
      <c r="I78" s="53" t="str">
        <f>IFERROR(IF(SMALL(タスク!$AB$5:$AB$300,ROWS($A$7:A78))&gt;=1000000000000,"",INDEX(タスク!I$5:I$300,MATCH(SMALL(タスク!$AB$5:$AB$300,ROWS($A$7:A78)),タスク!$AB$5:$AB$300,0))),"")</f>
        <v/>
      </c>
      <c r="J78" s="53" t="str">
        <f>IFERROR(IF(SMALL(タスク!$AB$5:$AB$300,ROWS($A$7:A78))&gt;=1000000000000,"",INDEX(タスク!J$5:J$300,MATCH(SMALL(タスク!$AB$5:$AB$300,ROWS($A$7:A78)),タスク!$AB$5:$AB$300,0))),"")</f>
        <v/>
      </c>
    </row>
    <row r="79" spans="1:10">
      <c r="A79" s="53" t="str">
        <f>IFERROR(IF(SMALL(タスク!$AB$5:$AB$300,ROWS($A$7:A79))&gt;=1000000000000,"",INDEX(タスク!A$5:A$300,MATCH(SMALL(タスク!$AB$5:$AB$300,ROWS($A$7:A79)),タスク!$AB$5:$AB$300,0))),"")</f>
        <v/>
      </c>
      <c r="B79" s="53" t="str">
        <f>IFERROR(IF(SMALL(タスク!$AB$5:$AB$300,ROWS($A$7:A79))&gt;=1000000000000,"",INDEX(タスク!B$5:B$300,MATCH(SMALL(タスク!$AB$5:$AB$300,ROWS($A$7:A79)),タスク!$AB$5:$AB$300,0))),"")</f>
        <v/>
      </c>
      <c r="C79" s="53" t="str">
        <f>IFERROR(IF(SMALL(タスク!$AB$5:$AB$300,ROWS($A$7:A79))&gt;=1000000000000,"",INDEX(タスク!C$5:C$300,MATCH(SMALL(タスク!$AB$5:$AB$300,ROWS($A$7:A79)),タスク!$AB$5:$AB$300,0))),"")</f>
        <v/>
      </c>
      <c r="D79" s="53" t="str">
        <f>IFERROR(IF(SMALL(タスク!$AB$5:$AB$300,ROWS($A$7:A79))&gt;=1000000000000,"",INDEX(タスク!D$5:D$300,MATCH(SMALL(タスク!$AB$5:$AB$300,ROWS($A$7:A79)),タスク!$AB$5:$AB$300,0))),"")</f>
        <v/>
      </c>
      <c r="E79" s="53" t="str">
        <f>IFERROR(IF(SMALL(タスク!$AB$5:$AB$300,ROWS($A$7:A79))&gt;=1000000000000,"",INDEX(タスク!E$5:E$300,MATCH(SMALL(タスク!$AB$5:$AB$300,ROWS($A$7:A79)),タスク!$AB$5:$AB$300,0))),"")</f>
        <v/>
      </c>
      <c r="F79" s="53" t="str">
        <f>IFERROR(IF(SMALL(タスク!$AB$5:$AB$300,ROWS($A$7:A79))&gt;=1000000000000,"",INDEX(タスク!F$5:F$300,MATCH(SMALL(タスク!$AB$5:$AB$300,ROWS($A$7:A79)),タスク!$AB$5:$AB$300,0))),"")</f>
        <v/>
      </c>
      <c r="G79" s="53" t="str">
        <f>IFERROR(IF(SMALL(タスク!$AB$5:$AB$300,ROWS($A$7:A79))&gt;=1000000000000,"",INDEX(タスク!G$5:G$300,MATCH(SMALL(タスク!$AB$5:$AB$300,ROWS($A$7:A79)),タスク!$AB$5:$AB$300,0))),"")</f>
        <v/>
      </c>
      <c r="H79" s="53" t="str">
        <f>IFERROR(IF(SMALL(タスク!$AB$5:$AB$300,ROWS($A$7:A79))&gt;=1000000000000,"",INDEX(タスク!H$5:H$300,MATCH(SMALL(タスク!$AB$5:$AB$300,ROWS($A$7:A79)),タスク!$AB$5:$AB$300,0))),"")</f>
        <v/>
      </c>
      <c r="I79" s="53" t="str">
        <f>IFERROR(IF(SMALL(タスク!$AB$5:$AB$300,ROWS($A$7:A79))&gt;=1000000000000,"",INDEX(タスク!I$5:I$300,MATCH(SMALL(タスク!$AB$5:$AB$300,ROWS($A$7:A79)),タスク!$AB$5:$AB$300,0))),"")</f>
        <v/>
      </c>
      <c r="J79" s="53" t="str">
        <f>IFERROR(IF(SMALL(タスク!$AB$5:$AB$300,ROWS($A$7:A79))&gt;=1000000000000,"",INDEX(タスク!J$5:J$300,MATCH(SMALL(タスク!$AB$5:$AB$300,ROWS($A$7:A79)),タスク!$AB$5:$AB$300,0))),"")</f>
        <v/>
      </c>
    </row>
    <row r="80" spans="1:10">
      <c r="A80" s="53" t="str">
        <f>IFERROR(IF(SMALL(タスク!$AB$5:$AB$300,ROWS($A$7:A80))&gt;=1000000000000,"",INDEX(タスク!A$5:A$300,MATCH(SMALL(タスク!$AB$5:$AB$300,ROWS($A$7:A80)),タスク!$AB$5:$AB$300,0))),"")</f>
        <v/>
      </c>
      <c r="B80" s="53" t="str">
        <f>IFERROR(IF(SMALL(タスク!$AB$5:$AB$300,ROWS($A$7:A80))&gt;=1000000000000,"",INDEX(タスク!B$5:B$300,MATCH(SMALL(タスク!$AB$5:$AB$300,ROWS($A$7:A80)),タスク!$AB$5:$AB$300,0))),"")</f>
        <v/>
      </c>
      <c r="C80" s="53" t="str">
        <f>IFERROR(IF(SMALL(タスク!$AB$5:$AB$300,ROWS($A$7:A80))&gt;=1000000000000,"",INDEX(タスク!C$5:C$300,MATCH(SMALL(タスク!$AB$5:$AB$300,ROWS($A$7:A80)),タスク!$AB$5:$AB$300,0))),"")</f>
        <v/>
      </c>
      <c r="D80" s="53" t="str">
        <f>IFERROR(IF(SMALL(タスク!$AB$5:$AB$300,ROWS($A$7:A80))&gt;=1000000000000,"",INDEX(タスク!D$5:D$300,MATCH(SMALL(タスク!$AB$5:$AB$300,ROWS($A$7:A80)),タスク!$AB$5:$AB$300,0))),"")</f>
        <v/>
      </c>
      <c r="E80" s="53" t="str">
        <f>IFERROR(IF(SMALL(タスク!$AB$5:$AB$300,ROWS($A$7:A80))&gt;=1000000000000,"",INDEX(タスク!E$5:E$300,MATCH(SMALL(タスク!$AB$5:$AB$300,ROWS($A$7:A80)),タスク!$AB$5:$AB$300,0))),"")</f>
        <v/>
      </c>
      <c r="F80" s="53" t="str">
        <f>IFERROR(IF(SMALL(タスク!$AB$5:$AB$300,ROWS($A$7:A80))&gt;=1000000000000,"",INDEX(タスク!F$5:F$300,MATCH(SMALL(タスク!$AB$5:$AB$300,ROWS($A$7:A80)),タスク!$AB$5:$AB$300,0))),"")</f>
        <v/>
      </c>
      <c r="G80" s="53" t="str">
        <f>IFERROR(IF(SMALL(タスク!$AB$5:$AB$300,ROWS($A$7:A80))&gt;=1000000000000,"",INDEX(タスク!G$5:G$300,MATCH(SMALL(タスク!$AB$5:$AB$300,ROWS($A$7:A80)),タスク!$AB$5:$AB$300,0))),"")</f>
        <v/>
      </c>
      <c r="H80" s="53" t="str">
        <f>IFERROR(IF(SMALL(タスク!$AB$5:$AB$300,ROWS($A$7:A80))&gt;=1000000000000,"",INDEX(タスク!H$5:H$300,MATCH(SMALL(タスク!$AB$5:$AB$300,ROWS($A$7:A80)),タスク!$AB$5:$AB$300,0))),"")</f>
        <v/>
      </c>
      <c r="I80" s="53" t="str">
        <f>IFERROR(IF(SMALL(タスク!$AB$5:$AB$300,ROWS($A$7:A80))&gt;=1000000000000,"",INDEX(タスク!I$5:I$300,MATCH(SMALL(タスク!$AB$5:$AB$300,ROWS($A$7:A80)),タスク!$AB$5:$AB$300,0))),"")</f>
        <v/>
      </c>
      <c r="J80" s="53" t="str">
        <f>IFERROR(IF(SMALL(タスク!$AB$5:$AB$300,ROWS($A$7:A80))&gt;=1000000000000,"",INDEX(タスク!J$5:J$300,MATCH(SMALL(タスク!$AB$5:$AB$300,ROWS($A$7:A80)),タスク!$AB$5:$AB$300,0))),"")</f>
        <v/>
      </c>
    </row>
    <row r="81" spans="1:10">
      <c r="A81" s="53" t="str">
        <f>IFERROR(IF(SMALL(タスク!$AB$5:$AB$300,ROWS($A$7:A81))&gt;=1000000000000,"",INDEX(タスク!A$5:A$300,MATCH(SMALL(タスク!$AB$5:$AB$300,ROWS($A$7:A81)),タスク!$AB$5:$AB$300,0))),"")</f>
        <v/>
      </c>
      <c r="B81" s="53" t="str">
        <f>IFERROR(IF(SMALL(タスク!$AB$5:$AB$300,ROWS($A$7:A81))&gt;=1000000000000,"",INDEX(タスク!B$5:B$300,MATCH(SMALL(タスク!$AB$5:$AB$300,ROWS($A$7:A81)),タスク!$AB$5:$AB$300,0))),"")</f>
        <v/>
      </c>
      <c r="C81" s="53" t="str">
        <f>IFERROR(IF(SMALL(タスク!$AB$5:$AB$300,ROWS($A$7:A81))&gt;=1000000000000,"",INDEX(タスク!C$5:C$300,MATCH(SMALL(タスク!$AB$5:$AB$300,ROWS($A$7:A81)),タスク!$AB$5:$AB$300,0))),"")</f>
        <v/>
      </c>
      <c r="D81" s="53" t="str">
        <f>IFERROR(IF(SMALL(タスク!$AB$5:$AB$300,ROWS($A$7:A81))&gt;=1000000000000,"",INDEX(タスク!D$5:D$300,MATCH(SMALL(タスク!$AB$5:$AB$300,ROWS($A$7:A81)),タスク!$AB$5:$AB$300,0))),"")</f>
        <v/>
      </c>
      <c r="E81" s="53" t="str">
        <f>IFERROR(IF(SMALL(タスク!$AB$5:$AB$300,ROWS($A$7:A81))&gt;=1000000000000,"",INDEX(タスク!E$5:E$300,MATCH(SMALL(タスク!$AB$5:$AB$300,ROWS($A$7:A81)),タスク!$AB$5:$AB$300,0))),"")</f>
        <v/>
      </c>
      <c r="F81" s="53" t="str">
        <f>IFERROR(IF(SMALL(タスク!$AB$5:$AB$300,ROWS($A$7:A81))&gt;=1000000000000,"",INDEX(タスク!F$5:F$300,MATCH(SMALL(タスク!$AB$5:$AB$300,ROWS($A$7:A81)),タスク!$AB$5:$AB$300,0))),"")</f>
        <v/>
      </c>
      <c r="G81" s="53" t="str">
        <f>IFERROR(IF(SMALL(タスク!$AB$5:$AB$300,ROWS($A$7:A81))&gt;=1000000000000,"",INDEX(タスク!G$5:G$300,MATCH(SMALL(タスク!$AB$5:$AB$300,ROWS($A$7:A81)),タスク!$AB$5:$AB$300,0))),"")</f>
        <v/>
      </c>
      <c r="H81" s="53" t="str">
        <f>IFERROR(IF(SMALL(タスク!$AB$5:$AB$300,ROWS($A$7:A81))&gt;=1000000000000,"",INDEX(タスク!H$5:H$300,MATCH(SMALL(タスク!$AB$5:$AB$300,ROWS($A$7:A81)),タスク!$AB$5:$AB$300,0))),"")</f>
        <v/>
      </c>
      <c r="I81" s="53" t="str">
        <f>IFERROR(IF(SMALL(タスク!$AB$5:$AB$300,ROWS($A$7:A81))&gt;=1000000000000,"",INDEX(タスク!I$5:I$300,MATCH(SMALL(タスク!$AB$5:$AB$300,ROWS($A$7:A81)),タスク!$AB$5:$AB$300,0))),"")</f>
        <v/>
      </c>
      <c r="J81" s="53" t="str">
        <f>IFERROR(IF(SMALL(タスク!$AB$5:$AB$300,ROWS($A$7:A81))&gt;=1000000000000,"",INDEX(タスク!J$5:J$300,MATCH(SMALL(タスク!$AB$5:$AB$300,ROWS($A$7:A81)),タスク!$AB$5:$AB$300,0))),"")</f>
        <v/>
      </c>
    </row>
    <row r="82" spans="1:10">
      <c r="A82" s="53" t="str">
        <f>IFERROR(IF(SMALL(タスク!$AB$5:$AB$300,ROWS($A$7:A82))&gt;=1000000000000,"",INDEX(タスク!A$5:A$300,MATCH(SMALL(タスク!$AB$5:$AB$300,ROWS($A$7:A82)),タスク!$AB$5:$AB$300,0))),"")</f>
        <v/>
      </c>
      <c r="B82" s="53" t="str">
        <f>IFERROR(IF(SMALL(タスク!$AB$5:$AB$300,ROWS($A$7:A82))&gt;=1000000000000,"",INDEX(タスク!B$5:B$300,MATCH(SMALL(タスク!$AB$5:$AB$300,ROWS($A$7:A82)),タスク!$AB$5:$AB$300,0))),"")</f>
        <v/>
      </c>
      <c r="C82" s="53" t="str">
        <f>IFERROR(IF(SMALL(タスク!$AB$5:$AB$300,ROWS($A$7:A82))&gt;=1000000000000,"",INDEX(タスク!C$5:C$300,MATCH(SMALL(タスク!$AB$5:$AB$300,ROWS($A$7:A82)),タスク!$AB$5:$AB$300,0))),"")</f>
        <v/>
      </c>
      <c r="D82" s="53" t="str">
        <f>IFERROR(IF(SMALL(タスク!$AB$5:$AB$300,ROWS($A$7:A82))&gt;=1000000000000,"",INDEX(タスク!D$5:D$300,MATCH(SMALL(タスク!$AB$5:$AB$300,ROWS($A$7:A82)),タスク!$AB$5:$AB$300,0))),"")</f>
        <v/>
      </c>
      <c r="E82" s="53" t="str">
        <f>IFERROR(IF(SMALL(タスク!$AB$5:$AB$300,ROWS($A$7:A82))&gt;=1000000000000,"",INDEX(タスク!E$5:E$300,MATCH(SMALL(タスク!$AB$5:$AB$300,ROWS($A$7:A82)),タスク!$AB$5:$AB$300,0))),"")</f>
        <v/>
      </c>
      <c r="F82" s="53" t="str">
        <f>IFERROR(IF(SMALL(タスク!$AB$5:$AB$300,ROWS($A$7:A82))&gt;=1000000000000,"",INDEX(タスク!F$5:F$300,MATCH(SMALL(タスク!$AB$5:$AB$300,ROWS($A$7:A82)),タスク!$AB$5:$AB$300,0))),"")</f>
        <v/>
      </c>
      <c r="G82" s="53" t="str">
        <f>IFERROR(IF(SMALL(タスク!$AB$5:$AB$300,ROWS($A$7:A82))&gt;=1000000000000,"",INDEX(タスク!G$5:G$300,MATCH(SMALL(タスク!$AB$5:$AB$300,ROWS($A$7:A82)),タスク!$AB$5:$AB$300,0))),"")</f>
        <v/>
      </c>
      <c r="H82" s="53" t="str">
        <f>IFERROR(IF(SMALL(タスク!$AB$5:$AB$300,ROWS($A$7:A82))&gt;=1000000000000,"",INDEX(タスク!H$5:H$300,MATCH(SMALL(タスク!$AB$5:$AB$300,ROWS($A$7:A82)),タスク!$AB$5:$AB$300,0))),"")</f>
        <v/>
      </c>
      <c r="I82" s="53" t="str">
        <f>IFERROR(IF(SMALL(タスク!$AB$5:$AB$300,ROWS($A$7:A82))&gt;=1000000000000,"",INDEX(タスク!I$5:I$300,MATCH(SMALL(タスク!$AB$5:$AB$300,ROWS($A$7:A82)),タスク!$AB$5:$AB$300,0))),"")</f>
        <v/>
      </c>
      <c r="J82" s="53" t="str">
        <f>IFERROR(IF(SMALL(タスク!$AB$5:$AB$300,ROWS($A$7:A82))&gt;=1000000000000,"",INDEX(タスク!J$5:J$300,MATCH(SMALL(タスク!$AB$5:$AB$300,ROWS($A$7:A82)),タスク!$AB$5:$AB$300,0))),"")</f>
        <v/>
      </c>
    </row>
    <row r="83" spans="1:10">
      <c r="A83" s="53" t="str">
        <f>IFERROR(IF(SMALL(タスク!$AB$5:$AB$300,ROWS($A$7:A83))&gt;=1000000000000,"",INDEX(タスク!A$5:A$300,MATCH(SMALL(タスク!$AB$5:$AB$300,ROWS($A$7:A83)),タスク!$AB$5:$AB$300,0))),"")</f>
        <v/>
      </c>
      <c r="B83" s="53" t="str">
        <f>IFERROR(IF(SMALL(タスク!$AB$5:$AB$300,ROWS($A$7:A83))&gt;=1000000000000,"",INDEX(タスク!B$5:B$300,MATCH(SMALL(タスク!$AB$5:$AB$300,ROWS($A$7:A83)),タスク!$AB$5:$AB$300,0))),"")</f>
        <v/>
      </c>
      <c r="C83" s="53" t="str">
        <f>IFERROR(IF(SMALL(タスク!$AB$5:$AB$300,ROWS($A$7:A83))&gt;=1000000000000,"",INDEX(タスク!C$5:C$300,MATCH(SMALL(タスク!$AB$5:$AB$300,ROWS($A$7:A83)),タスク!$AB$5:$AB$300,0))),"")</f>
        <v/>
      </c>
      <c r="D83" s="53" t="str">
        <f>IFERROR(IF(SMALL(タスク!$AB$5:$AB$300,ROWS($A$7:A83))&gt;=1000000000000,"",INDEX(タスク!D$5:D$300,MATCH(SMALL(タスク!$AB$5:$AB$300,ROWS($A$7:A83)),タスク!$AB$5:$AB$300,0))),"")</f>
        <v/>
      </c>
      <c r="E83" s="53" t="str">
        <f>IFERROR(IF(SMALL(タスク!$AB$5:$AB$300,ROWS($A$7:A83))&gt;=1000000000000,"",INDEX(タスク!E$5:E$300,MATCH(SMALL(タスク!$AB$5:$AB$300,ROWS($A$7:A83)),タスク!$AB$5:$AB$300,0))),"")</f>
        <v/>
      </c>
      <c r="F83" s="53" t="str">
        <f>IFERROR(IF(SMALL(タスク!$AB$5:$AB$300,ROWS($A$7:A83))&gt;=1000000000000,"",INDEX(タスク!F$5:F$300,MATCH(SMALL(タスク!$AB$5:$AB$300,ROWS($A$7:A83)),タスク!$AB$5:$AB$300,0))),"")</f>
        <v/>
      </c>
      <c r="G83" s="53" t="str">
        <f>IFERROR(IF(SMALL(タスク!$AB$5:$AB$300,ROWS($A$7:A83))&gt;=1000000000000,"",INDEX(タスク!G$5:G$300,MATCH(SMALL(タスク!$AB$5:$AB$300,ROWS($A$7:A83)),タスク!$AB$5:$AB$300,0))),"")</f>
        <v/>
      </c>
      <c r="H83" s="53" t="str">
        <f>IFERROR(IF(SMALL(タスク!$AB$5:$AB$300,ROWS($A$7:A83))&gt;=1000000000000,"",INDEX(タスク!H$5:H$300,MATCH(SMALL(タスク!$AB$5:$AB$300,ROWS($A$7:A83)),タスク!$AB$5:$AB$300,0))),"")</f>
        <v/>
      </c>
      <c r="I83" s="53" t="str">
        <f>IFERROR(IF(SMALL(タスク!$AB$5:$AB$300,ROWS($A$7:A83))&gt;=1000000000000,"",INDEX(タスク!I$5:I$300,MATCH(SMALL(タスク!$AB$5:$AB$300,ROWS($A$7:A83)),タスク!$AB$5:$AB$300,0))),"")</f>
        <v/>
      </c>
      <c r="J83" s="53" t="str">
        <f>IFERROR(IF(SMALL(タスク!$AB$5:$AB$300,ROWS($A$7:A83))&gt;=1000000000000,"",INDEX(タスク!J$5:J$300,MATCH(SMALL(タスク!$AB$5:$AB$300,ROWS($A$7:A83)),タスク!$AB$5:$AB$300,0))),"")</f>
        <v/>
      </c>
    </row>
    <row r="84" spans="1:10">
      <c r="A84" s="53" t="str">
        <f>IFERROR(IF(SMALL(タスク!$AB$5:$AB$300,ROWS($A$7:A84))&gt;=1000000000000,"",INDEX(タスク!A$5:A$300,MATCH(SMALL(タスク!$AB$5:$AB$300,ROWS($A$7:A84)),タスク!$AB$5:$AB$300,0))),"")</f>
        <v/>
      </c>
      <c r="B84" s="53" t="str">
        <f>IFERROR(IF(SMALL(タスク!$AB$5:$AB$300,ROWS($A$7:A84))&gt;=1000000000000,"",INDEX(タスク!B$5:B$300,MATCH(SMALL(タスク!$AB$5:$AB$300,ROWS($A$7:A84)),タスク!$AB$5:$AB$300,0))),"")</f>
        <v/>
      </c>
      <c r="C84" s="53" t="str">
        <f>IFERROR(IF(SMALL(タスク!$AB$5:$AB$300,ROWS($A$7:A84))&gt;=1000000000000,"",INDEX(タスク!C$5:C$300,MATCH(SMALL(タスク!$AB$5:$AB$300,ROWS($A$7:A84)),タスク!$AB$5:$AB$300,0))),"")</f>
        <v/>
      </c>
      <c r="D84" s="53" t="str">
        <f>IFERROR(IF(SMALL(タスク!$AB$5:$AB$300,ROWS($A$7:A84))&gt;=1000000000000,"",INDEX(タスク!D$5:D$300,MATCH(SMALL(タスク!$AB$5:$AB$300,ROWS($A$7:A84)),タスク!$AB$5:$AB$300,0))),"")</f>
        <v/>
      </c>
      <c r="E84" s="53" t="str">
        <f>IFERROR(IF(SMALL(タスク!$AB$5:$AB$300,ROWS($A$7:A84))&gt;=1000000000000,"",INDEX(タスク!E$5:E$300,MATCH(SMALL(タスク!$AB$5:$AB$300,ROWS($A$7:A84)),タスク!$AB$5:$AB$300,0))),"")</f>
        <v/>
      </c>
      <c r="F84" s="53" t="str">
        <f>IFERROR(IF(SMALL(タスク!$AB$5:$AB$300,ROWS($A$7:A84))&gt;=1000000000000,"",INDEX(タスク!F$5:F$300,MATCH(SMALL(タスク!$AB$5:$AB$300,ROWS($A$7:A84)),タスク!$AB$5:$AB$300,0))),"")</f>
        <v/>
      </c>
      <c r="G84" s="53" t="str">
        <f>IFERROR(IF(SMALL(タスク!$AB$5:$AB$300,ROWS($A$7:A84))&gt;=1000000000000,"",INDEX(タスク!G$5:G$300,MATCH(SMALL(タスク!$AB$5:$AB$300,ROWS($A$7:A84)),タスク!$AB$5:$AB$300,0))),"")</f>
        <v/>
      </c>
      <c r="H84" s="53" t="str">
        <f>IFERROR(IF(SMALL(タスク!$AB$5:$AB$300,ROWS($A$7:A84))&gt;=1000000000000,"",INDEX(タスク!H$5:H$300,MATCH(SMALL(タスク!$AB$5:$AB$300,ROWS($A$7:A84)),タスク!$AB$5:$AB$300,0))),"")</f>
        <v/>
      </c>
      <c r="I84" s="53" t="str">
        <f>IFERROR(IF(SMALL(タスク!$AB$5:$AB$300,ROWS($A$7:A84))&gt;=1000000000000,"",INDEX(タスク!I$5:I$300,MATCH(SMALL(タスク!$AB$5:$AB$300,ROWS($A$7:A84)),タスク!$AB$5:$AB$300,0))),"")</f>
        <v/>
      </c>
      <c r="J84" s="53" t="str">
        <f>IFERROR(IF(SMALL(タスク!$AB$5:$AB$300,ROWS($A$7:A84))&gt;=1000000000000,"",INDEX(タスク!J$5:J$300,MATCH(SMALL(タスク!$AB$5:$AB$300,ROWS($A$7:A84)),タスク!$AB$5:$AB$300,0))),"")</f>
        <v/>
      </c>
    </row>
    <row r="85" spans="1:10">
      <c r="A85" s="53" t="str">
        <f>IFERROR(IF(SMALL(タスク!$AB$5:$AB$300,ROWS($A$7:A85))&gt;=1000000000000,"",INDEX(タスク!A$5:A$300,MATCH(SMALL(タスク!$AB$5:$AB$300,ROWS($A$7:A85)),タスク!$AB$5:$AB$300,0))),"")</f>
        <v/>
      </c>
      <c r="B85" s="53" t="str">
        <f>IFERROR(IF(SMALL(タスク!$AB$5:$AB$300,ROWS($A$7:A85))&gt;=1000000000000,"",INDEX(タスク!B$5:B$300,MATCH(SMALL(タスク!$AB$5:$AB$300,ROWS($A$7:A85)),タスク!$AB$5:$AB$300,0))),"")</f>
        <v/>
      </c>
      <c r="C85" s="53" t="str">
        <f>IFERROR(IF(SMALL(タスク!$AB$5:$AB$300,ROWS($A$7:A85))&gt;=1000000000000,"",INDEX(タスク!C$5:C$300,MATCH(SMALL(タスク!$AB$5:$AB$300,ROWS($A$7:A85)),タスク!$AB$5:$AB$300,0))),"")</f>
        <v/>
      </c>
      <c r="D85" s="53" t="str">
        <f>IFERROR(IF(SMALL(タスク!$AB$5:$AB$300,ROWS($A$7:A85))&gt;=1000000000000,"",INDEX(タスク!D$5:D$300,MATCH(SMALL(タスク!$AB$5:$AB$300,ROWS($A$7:A85)),タスク!$AB$5:$AB$300,0))),"")</f>
        <v/>
      </c>
      <c r="E85" s="53" t="str">
        <f>IFERROR(IF(SMALL(タスク!$AB$5:$AB$300,ROWS($A$7:A85))&gt;=1000000000000,"",INDEX(タスク!E$5:E$300,MATCH(SMALL(タスク!$AB$5:$AB$300,ROWS($A$7:A85)),タスク!$AB$5:$AB$300,0))),"")</f>
        <v/>
      </c>
      <c r="F85" s="53" t="str">
        <f>IFERROR(IF(SMALL(タスク!$AB$5:$AB$300,ROWS($A$7:A85))&gt;=1000000000000,"",INDEX(タスク!F$5:F$300,MATCH(SMALL(タスク!$AB$5:$AB$300,ROWS($A$7:A85)),タスク!$AB$5:$AB$300,0))),"")</f>
        <v/>
      </c>
      <c r="G85" s="53" t="str">
        <f>IFERROR(IF(SMALL(タスク!$AB$5:$AB$300,ROWS($A$7:A85))&gt;=1000000000000,"",INDEX(タスク!G$5:G$300,MATCH(SMALL(タスク!$AB$5:$AB$300,ROWS($A$7:A85)),タスク!$AB$5:$AB$300,0))),"")</f>
        <v/>
      </c>
      <c r="H85" s="53" t="str">
        <f>IFERROR(IF(SMALL(タスク!$AB$5:$AB$300,ROWS($A$7:A85))&gt;=1000000000000,"",INDEX(タスク!H$5:H$300,MATCH(SMALL(タスク!$AB$5:$AB$300,ROWS($A$7:A85)),タスク!$AB$5:$AB$300,0))),"")</f>
        <v/>
      </c>
      <c r="I85" s="53" t="str">
        <f>IFERROR(IF(SMALL(タスク!$AB$5:$AB$300,ROWS($A$7:A85))&gt;=1000000000000,"",INDEX(タスク!I$5:I$300,MATCH(SMALL(タスク!$AB$5:$AB$300,ROWS($A$7:A85)),タスク!$AB$5:$AB$300,0))),"")</f>
        <v/>
      </c>
      <c r="J85" s="53" t="str">
        <f>IFERROR(IF(SMALL(タスク!$AB$5:$AB$300,ROWS($A$7:A85))&gt;=1000000000000,"",INDEX(タスク!J$5:J$300,MATCH(SMALL(タスク!$AB$5:$AB$300,ROWS($A$7:A85)),タスク!$AB$5:$AB$300,0))),"")</f>
        <v/>
      </c>
    </row>
    <row r="86" spans="1:10">
      <c r="A86" s="53" t="str">
        <f>IFERROR(IF(SMALL(タスク!$AB$5:$AB$300,ROWS($A$7:A86))&gt;=1000000000000,"",INDEX(タスク!A$5:A$300,MATCH(SMALL(タスク!$AB$5:$AB$300,ROWS($A$7:A86)),タスク!$AB$5:$AB$300,0))),"")</f>
        <v/>
      </c>
      <c r="B86" s="53" t="str">
        <f>IFERROR(IF(SMALL(タスク!$AB$5:$AB$300,ROWS($A$7:A86))&gt;=1000000000000,"",INDEX(タスク!B$5:B$300,MATCH(SMALL(タスク!$AB$5:$AB$300,ROWS($A$7:A86)),タスク!$AB$5:$AB$300,0))),"")</f>
        <v/>
      </c>
      <c r="C86" s="53" t="str">
        <f>IFERROR(IF(SMALL(タスク!$AB$5:$AB$300,ROWS($A$7:A86))&gt;=1000000000000,"",INDEX(タスク!C$5:C$300,MATCH(SMALL(タスク!$AB$5:$AB$300,ROWS($A$7:A86)),タスク!$AB$5:$AB$300,0))),"")</f>
        <v/>
      </c>
      <c r="D86" s="53" t="str">
        <f>IFERROR(IF(SMALL(タスク!$AB$5:$AB$300,ROWS($A$7:A86))&gt;=1000000000000,"",INDEX(タスク!D$5:D$300,MATCH(SMALL(タスク!$AB$5:$AB$300,ROWS($A$7:A86)),タスク!$AB$5:$AB$300,0))),"")</f>
        <v/>
      </c>
      <c r="E86" s="53" t="str">
        <f>IFERROR(IF(SMALL(タスク!$AB$5:$AB$300,ROWS($A$7:A86))&gt;=1000000000000,"",INDEX(タスク!E$5:E$300,MATCH(SMALL(タスク!$AB$5:$AB$300,ROWS($A$7:A86)),タスク!$AB$5:$AB$300,0))),"")</f>
        <v/>
      </c>
      <c r="F86" s="53" t="str">
        <f>IFERROR(IF(SMALL(タスク!$AB$5:$AB$300,ROWS($A$7:A86))&gt;=1000000000000,"",INDEX(タスク!F$5:F$300,MATCH(SMALL(タスク!$AB$5:$AB$300,ROWS($A$7:A86)),タスク!$AB$5:$AB$300,0))),"")</f>
        <v/>
      </c>
      <c r="G86" s="53" t="str">
        <f>IFERROR(IF(SMALL(タスク!$AB$5:$AB$300,ROWS($A$7:A86))&gt;=1000000000000,"",INDEX(タスク!G$5:G$300,MATCH(SMALL(タスク!$AB$5:$AB$300,ROWS($A$7:A86)),タスク!$AB$5:$AB$300,0))),"")</f>
        <v/>
      </c>
      <c r="H86" s="53" t="str">
        <f>IFERROR(IF(SMALL(タスク!$AB$5:$AB$300,ROWS($A$7:A86))&gt;=1000000000000,"",INDEX(タスク!H$5:H$300,MATCH(SMALL(タスク!$AB$5:$AB$300,ROWS($A$7:A86)),タスク!$AB$5:$AB$300,0))),"")</f>
        <v/>
      </c>
      <c r="I86" s="53" t="str">
        <f>IFERROR(IF(SMALL(タスク!$AB$5:$AB$300,ROWS($A$7:A86))&gt;=1000000000000,"",INDEX(タスク!I$5:I$300,MATCH(SMALL(タスク!$AB$5:$AB$300,ROWS($A$7:A86)),タスク!$AB$5:$AB$300,0))),"")</f>
        <v/>
      </c>
      <c r="J86" s="53" t="str">
        <f>IFERROR(IF(SMALL(タスク!$AB$5:$AB$300,ROWS($A$7:A86))&gt;=1000000000000,"",INDEX(タスク!J$5:J$300,MATCH(SMALL(タスク!$AB$5:$AB$300,ROWS($A$7:A86)),タスク!$AB$5:$AB$300,0))),"")</f>
        <v/>
      </c>
    </row>
    <row r="87" spans="1:10">
      <c r="A87" s="53" t="str">
        <f>IFERROR(IF(SMALL(タスク!$AB$5:$AB$300,ROWS($A$7:A87))&gt;=1000000000000,"",INDEX(タスク!A$5:A$300,MATCH(SMALL(タスク!$AB$5:$AB$300,ROWS($A$7:A87)),タスク!$AB$5:$AB$300,0))),"")</f>
        <v/>
      </c>
      <c r="B87" s="53" t="str">
        <f>IFERROR(IF(SMALL(タスク!$AB$5:$AB$300,ROWS($A$7:A87))&gt;=1000000000000,"",INDEX(タスク!B$5:B$300,MATCH(SMALL(タスク!$AB$5:$AB$300,ROWS($A$7:A87)),タスク!$AB$5:$AB$300,0))),"")</f>
        <v/>
      </c>
      <c r="C87" s="53" t="str">
        <f>IFERROR(IF(SMALL(タスク!$AB$5:$AB$300,ROWS($A$7:A87))&gt;=1000000000000,"",INDEX(タスク!C$5:C$300,MATCH(SMALL(タスク!$AB$5:$AB$300,ROWS($A$7:A87)),タスク!$AB$5:$AB$300,0))),"")</f>
        <v/>
      </c>
      <c r="D87" s="53" t="str">
        <f>IFERROR(IF(SMALL(タスク!$AB$5:$AB$300,ROWS($A$7:A87))&gt;=1000000000000,"",INDEX(タスク!D$5:D$300,MATCH(SMALL(タスク!$AB$5:$AB$300,ROWS($A$7:A87)),タスク!$AB$5:$AB$300,0))),"")</f>
        <v/>
      </c>
      <c r="E87" s="53" t="str">
        <f>IFERROR(IF(SMALL(タスク!$AB$5:$AB$300,ROWS($A$7:A87))&gt;=1000000000000,"",INDEX(タスク!E$5:E$300,MATCH(SMALL(タスク!$AB$5:$AB$300,ROWS($A$7:A87)),タスク!$AB$5:$AB$300,0))),"")</f>
        <v/>
      </c>
      <c r="F87" s="53" t="str">
        <f>IFERROR(IF(SMALL(タスク!$AB$5:$AB$300,ROWS($A$7:A87))&gt;=1000000000000,"",INDEX(タスク!F$5:F$300,MATCH(SMALL(タスク!$AB$5:$AB$300,ROWS($A$7:A87)),タスク!$AB$5:$AB$300,0))),"")</f>
        <v/>
      </c>
      <c r="G87" s="53" t="str">
        <f>IFERROR(IF(SMALL(タスク!$AB$5:$AB$300,ROWS($A$7:A87))&gt;=1000000000000,"",INDEX(タスク!G$5:G$300,MATCH(SMALL(タスク!$AB$5:$AB$300,ROWS($A$7:A87)),タスク!$AB$5:$AB$300,0))),"")</f>
        <v/>
      </c>
      <c r="H87" s="53" t="str">
        <f>IFERROR(IF(SMALL(タスク!$AB$5:$AB$300,ROWS($A$7:A87))&gt;=1000000000000,"",INDEX(タスク!H$5:H$300,MATCH(SMALL(タスク!$AB$5:$AB$300,ROWS($A$7:A87)),タスク!$AB$5:$AB$300,0))),"")</f>
        <v/>
      </c>
      <c r="I87" s="53" t="str">
        <f>IFERROR(IF(SMALL(タスク!$AB$5:$AB$300,ROWS($A$7:A87))&gt;=1000000000000,"",INDEX(タスク!I$5:I$300,MATCH(SMALL(タスク!$AB$5:$AB$300,ROWS($A$7:A87)),タスク!$AB$5:$AB$300,0))),"")</f>
        <v/>
      </c>
      <c r="J87" s="53" t="str">
        <f>IFERROR(IF(SMALL(タスク!$AB$5:$AB$300,ROWS($A$7:A87))&gt;=1000000000000,"",INDEX(タスク!J$5:J$300,MATCH(SMALL(タスク!$AB$5:$AB$300,ROWS($A$7:A87)),タスク!$AB$5:$AB$300,0))),"")</f>
        <v/>
      </c>
    </row>
    <row r="88" spans="1:10">
      <c r="A88" s="53" t="str">
        <f>IFERROR(IF(SMALL(タスク!$AB$5:$AB$300,ROWS($A$7:A88))&gt;=1000000000000,"",INDEX(タスク!A$5:A$300,MATCH(SMALL(タスク!$AB$5:$AB$300,ROWS($A$7:A88)),タスク!$AB$5:$AB$300,0))),"")</f>
        <v/>
      </c>
      <c r="B88" s="53" t="str">
        <f>IFERROR(IF(SMALL(タスク!$AB$5:$AB$300,ROWS($A$7:A88))&gt;=1000000000000,"",INDEX(タスク!B$5:B$300,MATCH(SMALL(タスク!$AB$5:$AB$300,ROWS($A$7:A88)),タスク!$AB$5:$AB$300,0))),"")</f>
        <v/>
      </c>
      <c r="C88" s="53" t="str">
        <f>IFERROR(IF(SMALL(タスク!$AB$5:$AB$300,ROWS($A$7:A88))&gt;=1000000000000,"",INDEX(タスク!C$5:C$300,MATCH(SMALL(タスク!$AB$5:$AB$300,ROWS($A$7:A88)),タスク!$AB$5:$AB$300,0))),"")</f>
        <v/>
      </c>
      <c r="D88" s="53" t="str">
        <f>IFERROR(IF(SMALL(タスク!$AB$5:$AB$300,ROWS($A$7:A88))&gt;=1000000000000,"",INDEX(タスク!D$5:D$300,MATCH(SMALL(タスク!$AB$5:$AB$300,ROWS($A$7:A88)),タスク!$AB$5:$AB$300,0))),"")</f>
        <v/>
      </c>
      <c r="E88" s="53" t="str">
        <f>IFERROR(IF(SMALL(タスク!$AB$5:$AB$300,ROWS($A$7:A88))&gt;=1000000000000,"",INDEX(タスク!E$5:E$300,MATCH(SMALL(タスク!$AB$5:$AB$300,ROWS($A$7:A88)),タスク!$AB$5:$AB$300,0))),"")</f>
        <v/>
      </c>
      <c r="F88" s="53" t="str">
        <f>IFERROR(IF(SMALL(タスク!$AB$5:$AB$300,ROWS($A$7:A88))&gt;=1000000000000,"",INDEX(タスク!F$5:F$300,MATCH(SMALL(タスク!$AB$5:$AB$300,ROWS($A$7:A88)),タスク!$AB$5:$AB$300,0))),"")</f>
        <v/>
      </c>
      <c r="G88" s="53" t="str">
        <f>IFERROR(IF(SMALL(タスク!$AB$5:$AB$300,ROWS($A$7:A88))&gt;=1000000000000,"",INDEX(タスク!G$5:G$300,MATCH(SMALL(タスク!$AB$5:$AB$300,ROWS($A$7:A88)),タスク!$AB$5:$AB$300,0))),"")</f>
        <v/>
      </c>
      <c r="H88" s="53" t="str">
        <f>IFERROR(IF(SMALL(タスク!$AB$5:$AB$300,ROWS($A$7:A88))&gt;=1000000000000,"",INDEX(タスク!H$5:H$300,MATCH(SMALL(タスク!$AB$5:$AB$300,ROWS($A$7:A88)),タスク!$AB$5:$AB$300,0))),"")</f>
        <v/>
      </c>
      <c r="I88" s="53" t="str">
        <f>IFERROR(IF(SMALL(タスク!$AB$5:$AB$300,ROWS($A$7:A88))&gt;=1000000000000,"",INDEX(タスク!I$5:I$300,MATCH(SMALL(タスク!$AB$5:$AB$300,ROWS($A$7:A88)),タスク!$AB$5:$AB$300,0))),"")</f>
        <v/>
      </c>
      <c r="J88" s="53" t="str">
        <f>IFERROR(IF(SMALL(タスク!$AB$5:$AB$300,ROWS($A$7:A88))&gt;=1000000000000,"",INDEX(タスク!J$5:J$300,MATCH(SMALL(タスク!$AB$5:$AB$300,ROWS($A$7:A88)),タスク!$AB$5:$AB$300,0))),"")</f>
        <v/>
      </c>
    </row>
    <row r="89" spans="1:10">
      <c r="A89" s="53" t="str">
        <f>IFERROR(IF(SMALL(タスク!$AB$5:$AB$300,ROWS($A$7:A89))&gt;=1000000000000,"",INDEX(タスク!A$5:A$300,MATCH(SMALL(タスク!$AB$5:$AB$300,ROWS($A$7:A89)),タスク!$AB$5:$AB$300,0))),"")</f>
        <v/>
      </c>
      <c r="B89" s="53" t="str">
        <f>IFERROR(IF(SMALL(タスク!$AB$5:$AB$300,ROWS($A$7:A89))&gt;=1000000000000,"",INDEX(タスク!B$5:B$300,MATCH(SMALL(タスク!$AB$5:$AB$300,ROWS($A$7:A89)),タスク!$AB$5:$AB$300,0))),"")</f>
        <v/>
      </c>
      <c r="C89" s="53" t="str">
        <f>IFERROR(IF(SMALL(タスク!$AB$5:$AB$300,ROWS($A$7:A89))&gt;=1000000000000,"",INDEX(タスク!C$5:C$300,MATCH(SMALL(タスク!$AB$5:$AB$300,ROWS($A$7:A89)),タスク!$AB$5:$AB$300,0))),"")</f>
        <v/>
      </c>
      <c r="D89" s="53" t="str">
        <f>IFERROR(IF(SMALL(タスク!$AB$5:$AB$300,ROWS($A$7:A89))&gt;=1000000000000,"",INDEX(タスク!D$5:D$300,MATCH(SMALL(タスク!$AB$5:$AB$300,ROWS($A$7:A89)),タスク!$AB$5:$AB$300,0))),"")</f>
        <v/>
      </c>
      <c r="E89" s="53" t="str">
        <f>IFERROR(IF(SMALL(タスク!$AB$5:$AB$300,ROWS($A$7:A89))&gt;=1000000000000,"",INDEX(タスク!E$5:E$300,MATCH(SMALL(タスク!$AB$5:$AB$300,ROWS($A$7:A89)),タスク!$AB$5:$AB$300,0))),"")</f>
        <v/>
      </c>
      <c r="F89" s="53" t="str">
        <f>IFERROR(IF(SMALL(タスク!$AB$5:$AB$300,ROWS($A$7:A89))&gt;=1000000000000,"",INDEX(タスク!F$5:F$300,MATCH(SMALL(タスク!$AB$5:$AB$300,ROWS($A$7:A89)),タスク!$AB$5:$AB$300,0))),"")</f>
        <v/>
      </c>
      <c r="G89" s="53" t="str">
        <f>IFERROR(IF(SMALL(タスク!$AB$5:$AB$300,ROWS($A$7:A89))&gt;=1000000000000,"",INDEX(タスク!G$5:G$300,MATCH(SMALL(タスク!$AB$5:$AB$300,ROWS($A$7:A89)),タスク!$AB$5:$AB$300,0))),"")</f>
        <v/>
      </c>
      <c r="H89" s="53" t="str">
        <f>IFERROR(IF(SMALL(タスク!$AB$5:$AB$300,ROWS($A$7:A89))&gt;=1000000000000,"",INDEX(タスク!H$5:H$300,MATCH(SMALL(タスク!$AB$5:$AB$300,ROWS($A$7:A89)),タスク!$AB$5:$AB$300,0))),"")</f>
        <v/>
      </c>
      <c r="I89" s="53" t="str">
        <f>IFERROR(IF(SMALL(タスク!$AB$5:$AB$300,ROWS($A$7:A89))&gt;=1000000000000,"",INDEX(タスク!I$5:I$300,MATCH(SMALL(タスク!$AB$5:$AB$300,ROWS($A$7:A89)),タスク!$AB$5:$AB$300,0))),"")</f>
        <v/>
      </c>
      <c r="J89" s="53" t="str">
        <f>IFERROR(IF(SMALL(タスク!$AB$5:$AB$300,ROWS($A$7:A89))&gt;=1000000000000,"",INDEX(タスク!J$5:J$300,MATCH(SMALL(タスク!$AB$5:$AB$300,ROWS($A$7:A89)),タスク!$AB$5:$AB$300,0))),"")</f>
        <v/>
      </c>
    </row>
    <row r="90" spans="1:10">
      <c r="A90" s="53" t="str">
        <f>IFERROR(IF(SMALL(タスク!$AB$5:$AB$300,ROWS($A$7:A90))&gt;=1000000000000,"",INDEX(タスク!A$5:A$300,MATCH(SMALL(タスク!$AB$5:$AB$300,ROWS($A$7:A90)),タスク!$AB$5:$AB$300,0))),"")</f>
        <v/>
      </c>
      <c r="B90" s="53" t="str">
        <f>IFERROR(IF(SMALL(タスク!$AB$5:$AB$300,ROWS($A$7:A90))&gt;=1000000000000,"",INDEX(タスク!B$5:B$300,MATCH(SMALL(タスク!$AB$5:$AB$300,ROWS($A$7:A90)),タスク!$AB$5:$AB$300,0))),"")</f>
        <v/>
      </c>
      <c r="C90" s="53" t="str">
        <f>IFERROR(IF(SMALL(タスク!$AB$5:$AB$300,ROWS($A$7:A90))&gt;=1000000000000,"",INDEX(タスク!C$5:C$300,MATCH(SMALL(タスク!$AB$5:$AB$300,ROWS($A$7:A90)),タスク!$AB$5:$AB$300,0))),"")</f>
        <v/>
      </c>
      <c r="D90" s="53" t="str">
        <f>IFERROR(IF(SMALL(タスク!$AB$5:$AB$300,ROWS($A$7:A90))&gt;=1000000000000,"",INDEX(タスク!D$5:D$300,MATCH(SMALL(タスク!$AB$5:$AB$300,ROWS($A$7:A90)),タスク!$AB$5:$AB$300,0))),"")</f>
        <v/>
      </c>
      <c r="E90" s="53" t="str">
        <f>IFERROR(IF(SMALL(タスク!$AB$5:$AB$300,ROWS($A$7:A90))&gt;=1000000000000,"",INDEX(タスク!E$5:E$300,MATCH(SMALL(タスク!$AB$5:$AB$300,ROWS($A$7:A90)),タスク!$AB$5:$AB$300,0))),"")</f>
        <v/>
      </c>
      <c r="F90" s="53" t="str">
        <f>IFERROR(IF(SMALL(タスク!$AB$5:$AB$300,ROWS($A$7:A90))&gt;=1000000000000,"",INDEX(タスク!F$5:F$300,MATCH(SMALL(タスク!$AB$5:$AB$300,ROWS($A$7:A90)),タスク!$AB$5:$AB$300,0))),"")</f>
        <v/>
      </c>
      <c r="G90" s="53" t="str">
        <f>IFERROR(IF(SMALL(タスク!$AB$5:$AB$300,ROWS($A$7:A90))&gt;=1000000000000,"",INDEX(タスク!G$5:G$300,MATCH(SMALL(タスク!$AB$5:$AB$300,ROWS($A$7:A90)),タスク!$AB$5:$AB$300,0))),"")</f>
        <v/>
      </c>
      <c r="H90" s="53" t="str">
        <f>IFERROR(IF(SMALL(タスク!$AB$5:$AB$300,ROWS($A$7:A90))&gt;=1000000000000,"",INDEX(タスク!H$5:H$300,MATCH(SMALL(タスク!$AB$5:$AB$300,ROWS($A$7:A90)),タスク!$AB$5:$AB$300,0))),"")</f>
        <v/>
      </c>
      <c r="I90" s="53" t="str">
        <f>IFERROR(IF(SMALL(タスク!$AB$5:$AB$300,ROWS($A$7:A90))&gt;=1000000000000,"",INDEX(タスク!I$5:I$300,MATCH(SMALL(タスク!$AB$5:$AB$300,ROWS($A$7:A90)),タスク!$AB$5:$AB$300,0))),"")</f>
        <v/>
      </c>
      <c r="J90" s="53" t="str">
        <f>IFERROR(IF(SMALL(タスク!$AB$5:$AB$300,ROWS($A$7:A90))&gt;=1000000000000,"",INDEX(タスク!J$5:J$300,MATCH(SMALL(タスク!$AB$5:$AB$300,ROWS($A$7:A90)),タスク!$AB$5:$AB$300,0))),"")</f>
        <v/>
      </c>
    </row>
    <row r="91" spans="1:10">
      <c r="A91" s="53" t="str">
        <f>IFERROR(IF(SMALL(タスク!$AB$5:$AB$300,ROWS($A$7:A91))&gt;=1000000000000,"",INDEX(タスク!A$5:A$300,MATCH(SMALL(タスク!$AB$5:$AB$300,ROWS($A$7:A91)),タスク!$AB$5:$AB$300,0))),"")</f>
        <v/>
      </c>
      <c r="B91" s="53" t="str">
        <f>IFERROR(IF(SMALL(タスク!$AB$5:$AB$300,ROWS($A$7:A91))&gt;=1000000000000,"",INDEX(タスク!B$5:B$300,MATCH(SMALL(タスク!$AB$5:$AB$300,ROWS($A$7:A91)),タスク!$AB$5:$AB$300,0))),"")</f>
        <v/>
      </c>
      <c r="C91" s="53" t="str">
        <f>IFERROR(IF(SMALL(タスク!$AB$5:$AB$300,ROWS($A$7:A91))&gt;=1000000000000,"",INDEX(タスク!C$5:C$300,MATCH(SMALL(タスク!$AB$5:$AB$300,ROWS($A$7:A91)),タスク!$AB$5:$AB$300,0))),"")</f>
        <v/>
      </c>
      <c r="D91" s="53" t="str">
        <f>IFERROR(IF(SMALL(タスク!$AB$5:$AB$300,ROWS($A$7:A91))&gt;=1000000000000,"",INDEX(タスク!D$5:D$300,MATCH(SMALL(タスク!$AB$5:$AB$300,ROWS($A$7:A91)),タスク!$AB$5:$AB$300,0))),"")</f>
        <v/>
      </c>
      <c r="E91" s="53" t="str">
        <f>IFERROR(IF(SMALL(タスク!$AB$5:$AB$300,ROWS($A$7:A91))&gt;=1000000000000,"",INDEX(タスク!E$5:E$300,MATCH(SMALL(タスク!$AB$5:$AB$300,ROWS($A$7:A91)),タスク!$AB$5:$AB$300,0))),"")</f>
        <v/>
      </c>
      <c r="F91" s="53" t="str">
        <f>IFERROR(IF(SMALL(タスク!$AB$5:$AB$300,ROWS($A$7:A91))&gt;=1000000000000,"",INDEX(タスク!F$5:F$300,MATCH(SMALL(タスク!$AB$5:$AB$300,ROWS($A$7:A91)),タスク!$AB$5:$AB$300,0))),"")</f>
        <v/>
      </c>
      <c r="G91" s="53" t="str">
        <f>IFERROR(IF(SMALL(タスク!$AB$5:$AB$300,ROWS($A$7:A91))&gt;=1000000000000,"",INDEX(タスク!G$5:G$300,MATCH(SMALL(タスク!$AB$5:$AB$300,ROWS($A$7:A91)),タスク!$AB$5:$AB$300,0))),"")</f>
        <v/>
      </c>
      <c r="H91" s="53" t="str">
        <f>IFERROR(IF(SMALL(タスク!$AB$5:$AB$300,ROWS($A$7:A91))&gt;=1000000000000,"",INDEX(タスク!H$5:H$300,MATCH(SMALL(タスク!$AB$5:$AB$300,ROWS($A$7:A91)),タスク!$AB$5:$AB$300,0))),"")</f>
        <v/>
      </c>
      <c r="I91" s="53" t="str">
        <f>IFERROR(IF(SMALL(タスク!$AB$5:$AB$300,ROWS($A$7:A91))&gt;=1000000000000,"",INDEX(タスク!I$5:I$300,MATCH(SMALL(タスク!$AB$5:$AB$300,ROWS($A$7:A91)),タスク!$AB$5:$AB$300,0))),"")</f>
        <v/>
      </c>
      <c r="J91" s="53" t="str">
        <f>IFERROR(IF(SMALL(タスク!$AB$5:$AB$300,ROWS($A$7:A91))&gt;=1000000000000,"",INDEX(タスク!J$5:J$300,MATCH(SMALL(タスク!$AB$5:$AB$300,ROWS($A$7:A91)),タスク!$AB$5:$AB$300,0))),"")</f>
        <v/>
      </c>
    </row>
    <row r="92" spans="1:10">
      <c r="A92" s="53" t="str">
        <f>IFERROR(IF(SMALL(タスク!$AB$5:$AB$300,ROWS($A$7:A92))&gt;=1000000000000,"",INDEX(タスク!A$5:A$300,MATCH(SMALL(タスク!$AB$5:$AB$300,ROWS($A$7:A92)),タスク!$AB$5:$AB$300,0))),"")</f>
        <v/>
      </c>
      <c r="B92" s="53" t="str">
        <f>IFERROR(IF(SMALL(タスク!$AB$5:$AB$300,ROWS($A$7:A92))&gt;=1000000000000,"",INDEX(タスク!B$5:B$300,MATCH(SMALL(タスク!$AB$5:$AB$300,ROWS($A$7:A92)),タスク!$AB$5:$AB$300,0))),"")</f>
        <v/>
      </c>
      <c r="C92" s="53" t="str">
        <f>IFERROR(IF(SMALL(タスク!$AB$5:$AB$300,ROWS($A$7:A92))&gt;=1000000000000,"",INDEX(タスク!C$5:C$300,MATCH(SMALL(タスク!$AB$5:$AB$300,ROWS($A$7:A92)),タスク!$AB$5:$AB$300,0))),"")</f>
        <v/>
      </c>
      <c r="D92" s="53" t="str">
        <f>IFERROR(IF(SMALL(タスク!$AB$5:$AB$300,ROWS($A$7:A92))&gt;=1000000000000,"",INDEX(タスク!D$5:D$300,MATCH(SMALL(タスク!$AB$5:$AB$300,ROWS($A$7:A92)),タスク!$AB$5:$AB$300,0))),"")</f>
        <v/>
      </c>
      <c r="E92" s="53" t="str">
        <f>IFERROR(IF(SMALL(タスク!$AB$5:$AB$300,ROWS($A$7:A92))&gt;=1000000000000,"",INDEX(タスク!E$5:E$300,MATCH(SMALL(タスク!$AB$5:$AB$300,ROWS($A$7:A92)),タスク!$AB$5:$AB$300,0))),"")</f>
        <v/>
      </c>
      <c r="F92" s="53" t="str">
        <f>IFERROR(IF(SMALL(タスク!$AB$5:$AB$300,ROWS($A$7:A92))&gt;=1000000000000,"",INDEX(タスク!F$5:F$300,MATCH(SMALL(タスク!$AB$5:$AB$300,ROWS($A$7:A92)),タスク!$AB$5:$AB$300,0))),"")</f>
        <v/>
      </c>
      <c r="G92" s="53" t="str">
        <f>IFERROR(IF(SMALL(タスク!$AB$5:$AB$300,ROWS($A$7:A92))&gt;=1000000000000,"",INDEX(タスク!G$5:G$300,MATCH(SMALL(タスク!$AB$5:$AB$300,ROWS($A$7:A92)),タスク!$AB$5:$AB$300,0))),"")</f>
        <v/>
      </c>
      <c r="H92" s="53" t="str">
        <f>IFERROR(IF(SMALL(タスク!$AB$5:$AB$300,ROWS($A$7:A92))&gt;=1000000000000,"",INDEX(タスク!H$5:H$300,MATCH(SMALL(タスク!$AB$5:$AB$300,ROWS($A$7:A92)),タスク!$AB$5:$AB$300,0))),"")</f>
        <v/>
      </c>
      <c r="I92" s="53" t="str">
        <f>IFERROR(IF(SMALL(タスク!$AB$5:$AB$300,ROWS($A$7:A92))&gt;=1000000000000,"",INDEX(タスク!I$5:I$300,MATCH(SMALL(タスク!$AB$5:$AB$300,ROWS($A$7:A92)),タスク!$AB$5:$AB$300,0))),"")</f>
        <v/>
      </c>
      <c r="J92" s="53" t="str">
        <f>IFERROR(IF(SMALL(タスク!$AB$5:$AB$300,ROWS($A$7:A92))&gt;=1000000000000,"",INDEX(タスク!J$5:J$300,MATCH(SMALL(タスク!$AB$5:$AB$300,ROWS($A$7:A92)),タスク!$AB$5:$AB$300,0))),"")</f>
        <v/>
      </c>
    </row>
    <row r="93" spans="1:10">
      <c r="A93" s="53" t="str">
        <f>IFERROR(IF(SMALL(タスク!$AB$5:$AB$300,ROWS($A$7:A93))&gt;=1000000000000,"",INDEX(タスク!A$5:A$300,MATCH(SMALL(タスク!$AB$5:$AB$300,ROWS($A$7:A93)),タスク!$AB$5:$AB$300,0))),"")</f>
        <v/>
      </c>
      <c r="B93" s="53" t="str">
        <f>IFERROR(IF(SMALL(タスク!$AB$5:$AB$300,ROWS($A$7:A93))&gt;=1000000000000,"",INDEX(タスク!B$5:B$300,MATCH(SMALL(タスク!$AB$5:$AB$300,ROWS($A$7:A93)),タスク!$AB$5:$AB$300,0))),"")</f>
        <v/>
      </c>
      <c r="C93" s="53" t="str">
        <f>IFERROR(IF(SMALL(タスク!$AB$5:$AB$300,ROWS($A$7:A93))&gt;=1000000000000,"",INDEX(タスク!C$5:C$300,MATCH(SMALL(タスク!$AB$5:$AB$300,ROWS($A$7:A93)),タスク!$AB$5:$AB$300,0))),"")</f>
        <v/>
      </c>
      <c r="D93" s="53" t="str">
        <f>IFERROR(IF(SMALL(タスク!$AB$5:$AB$300,ROWS($A$7:A93))&gt;=1000000000000,"",INDEX(タスク!D$5:D$300,MATCH(SMALL(タスク!$AB$5:$AB$300,ROWS($A$7:A93)),タスク!$AB$5:$AB$300,0))),"")</f>
        <v/>
      </c>
      <c r="E93" s="53" t="str">
        <f>IFERROR(IF(SMALL(タスク!$AB$5:$AB$300,ROWS($A$7:A93))&gt;=1000000000000,"",INDEX(タスク!E$5:E$300,MATCH(SMALL(タスク!$AB$5:$AB$300,ROWS($A$7:A93)),タスク!$AB$5:$AB$300,0))),"")</f>
        <v/>
      </c>
      <c r="F93" s="53" t="str">
        <f>IFERROR(IF(SMALL(タスク!$AB$5:$AB$300,ROWS($A$7:A93))&gt;=1000000000000,"",INDEX(タスク!F$5:F$300,MATCH(SMALL(タスク!$AB$5:$AB$300,ROWS($A$7:A93)),タスク!$AB$5:$AB$300,0))),"")</f>
        <v/>
      </c>
      <c r="G93" s="53" t="str">
        <f>IFERROR(IF(SMALL(タスク!$AB$5:$AB$300,ROWS($A$7:A93))&gt;=1000000000000,"",INDEX(タスク!G$5:G$300,MATCH(SMALL(タスク!$AB$5:$AB$300,ROWS($A$7:A93)),タスク!$AB$5:$AB$300,0))),"")</f>
        <v/>
      </c>
      <c r="H93" s="53" t="str">
        <f>IFERROR(IF(SMALL(タスク!$AB$5:$AB$300,ROWS($A$7:A93))&gt;=1000000000000,"",INDEX(タスク!H$5:H$300,MATCH(SMALL(タスク!$AB$5:$AB$300,ROWS($A$7:A93)),タスク!$AB$5:$AB$300,0))),"")</f>
        <v/>
      </c>
      <c r="I93" s="53" t="str">
        <f>IFERROR(IF(SMALL(タスク!$AB$5:$AB$300,ROWS($A$7:A93))&gt;=1000000000000,"",INDEX(タスク!I$5:I$300,MATCH(SMALL(タスク!$AB$5:$AB$300,ROWS($A$7:A93)),タスク!$AB$5:$AB$300,0))),"")</f>
        <v/>
      </c>
      <c r="J93" s="53" t="str">
        <f>IFERROR(IF(SMALL(タスク!$AB$5:$AB$300,ROWS($A$7:A93))&gt;=1000000000000,"",INDEX(タスク!J$5:J$300,MATCH(SMALL(タスク!$AB$5:$AB$300,ROWS($A$7:A93)),タスク!$AB$5:$AB$300,0))),"")</f>
        <v/>
      </c>
    </row>
    <row r="94" spans="1:10">
      <c r="A94" s="53" t="str">
        <f>IFERROR(IF(SMALL(タスク!$AB$5:$AB$300,ROWS($A$7:A94))&gt;=1000000000000,"",INDEX(タスク!A$5:A$300,MATCH(SMALL(タスク!$AB$5:$AB$300,ROWS($A$7:A94)),タスク!$AB$5:$AB$300,0))),"")</f>
        <v/>
      </c>
      <c r="B94" s="53" t="str">
        <f>IFERROR(IF(SMALL(タスク!$AB$5:$AB$300,ROWS($A$7:A94))&gt;=1000000000000,"",INDEX(タスク!B$5:B$300,MATCH(SMALL(タスク!$AB$5:$AB$300,ROWS($A$7:A94)),タスク!$AB$5:$AB$300,0))),"")</f>
        <v/>
      </c>
      <c r="C94" s="53" t="str">
        <f>IFERROR(IF(SMALL(タスク!$AB$5:$AB$300,ROWS($A$7:A94))&gt;=1000000000000,"",INDEX(タスク!C$5:C$300,MATCH(SMALL(タスク!$AB$5:$AB$300,ROWS($A$7:A94)),タスク!$AB$5:$AB$300,0))),"")</f>
        <v/>
      </c>
      <c r="D94" s="53" t="str">
        <f>IFERROR(IF(SMALL(タスク!$AB$5:$AB$300,ROWS($A$7:A94))&gt;=1000000000000,"",INDEX(タスク!D$5:D$300,MATCH(SMALL(タスク!$AB$5:$AB$300,ROWS($A$7:A94)),タスク!$AB$5:$AB$300,0))),"")</f>
        <v/>
      </c>
      <c r="E94" s="53" t="str">
        <f>IFERROR(IF(SMALL(タスク!$AB$5:$AB$300,ROWS($A$7:A94))&gt;=1000000000000,"",INDEX(タスク!E$5:E$300,MATCH(SMALL(タスク!$AB$5:$AB$300,ROWS($A$7:A94)),タスク!$AB$5:$AB$300,0))),"")</f>
        <v/>
      </c>
      <c r="F94" s="53" t="str">
        <f>IFERROR(IF(SMALL(タスク!$AB$5:$AB$300,ROWS($A$7:A94))&gt;=1000000000000,"",INDEX(タスク!F$5:F$300,MATCH(SMALL(タスク!$AB$5:$AB$300,ROWS($A$7:A94)),タスク!$AB$5:$AB$300,0))),"")</f>
        <v/>
      </c>
      <c r="G94" s="53" t="str">
        <f>IFERROR(IF(SMALL(タスク!$AB$5:$AB$300,ROWS($A$7:A94))&gt;=1000000000000,"",INDEX(タスク!G$5:G$300,MATCH(SMALL(タスク!$AB$5:$AB$300,ROWS($A$7:A94)),タスク!$AB$5:$AB$300,0))),"")</f>
        <v/>
      </c>
      <c r="H94" s="53" t="str">
        <f>IFERROR(IF(SMALL(タスク!$AB$5:$AB$300,ROWS($A$7:A94))&gt;=1000000000000,"",INDEX(タスク!H$5:H$300,MATCH(SMALL(タスク!$AB$5:$AB$300,ROWS($A$7:A94)),タスク!$AB$5:$AB$300,0))),"")</f>
        <v/>
      </c>
      <c r="I94" s="53" t="str">
        <f>IFERROR(IF(SMALL(タスク!$AB$5:$AB$300,ROWS($A$7:A94))&gt;=1000000000000,"",INDEX(タスク!I$5:I$300,MATCH(SMALL(タスク!$AB$5:$AB$300,ROWS($A$7:A94)),タスク!$AB$5:$AB$300,0))),"")</f>
        <v/>
      </c>
      <c r="J94" s="53" t="str">
        <f>IFERROR(IF(SMALL(タスク!$AB$5:$AB$300,ROWS($A$7:A94))&gt;=1000000000000,"",INDEX(タスク!J$5:J$300,MATCH(SMALL(タスク!$AB$5:$AB$300,ROWS($A$7:A94)),タスク!$AB$5:$AB$300,0))),"")</f>
        <v/>
      </c>
    </row>
    <row r="95" spans="1:10">
      <c r="A95" s="53" t="str">
        <f>IFERROR(IF(SMALL(タスク!$AB$5:$AB$300,ROWS($A$7:A95))&gt;=1000000000000,"",INDEX(タスク!A$5:A$300,MATCH(SMALL(タスク!$AB$5:$AB$300,ROWS($A$7:A95)),タスク!$AB$5:$AB$300,0))),"")</f>
        <v/>
      </c>
      <c r="B95" s="53" t="str">
        <f>IFERROR(IF(SMALL(タスク!$AB$5:$AB$300,ROWS($A$7:A95))&gt;=1000000000000,"",INDEX(タスク!B$5:B$300,MATCH(SMALL(タスク!$AB$5:$AB$300,ROWS($A$7:A95)),タスク!$AB$5:$AB$300,0))),"")</f>
        <v/>
      </c>
      <c r="C95" s="53" t="str">
        <f>IFERROR(IF(SMALL(タスク!$AB$5:$AB$300,ROWS($A$7:A95))&gt;=1000000000000,"",INDEX(タスク!C$5:C$300,MATCH(SMALL(タスク!$AB$5:$AB$300,ROWS($A$7:A95)),タスク!$AB$5:$AB$300,0))),"")</f>
        <v/>
      </c>
      <c r="D95" s="53" t="str">
        <f>IFERROR(IF(SMALL(タスク!$AB$5:$AB$300,ROWS($A$7:A95))&gt;=1000000000000,"",INDEX(タスク!D$5:D$300,MATCH(SMALL(タスク!$AB$5:$AB$300,ROWS($A$7:A95)),タスク!$AB$5:$AB$300,0))),"")</f>
        <v/>
      </c>
      <c r="E95" s="53" t="str">
        <f>IFERROR(IF(SMALL(タスク!$AB$5:$AB$300,ROWS($A$7:A95))&gt;=1000000000000,"",INDEX(タスク!E$5:E$300,MATCH(SMALL(タスク!$AB$5:$AB$300,ROWS($A$7:A95)),タスク!$AB$5:$AB$300,0))),"")</f>
        <v/>
      </c>
      <c r="F95" s="53" t="str">
        <f>IFERROR(IF(SMALL(タスク!$AB$5:$AB$300,ROWS($A$7:A95))&gt;=1000000000000,"",INDEX(タスク!F$5:F$300,MATCH(SMALL(タスク!$AB$5:$AB$300,ROWS($A$7:A95)),タスク!$AB$5:$AB$300,0))),"")</f>
        <v/>
      </c>
      <c r="G95" s="53" t="str">
        <f>IFERROR(IF(SMALL(タスク!$AB$5:$AB$300,ROWS($A$7:A95))&gt;=1000000000000,"",INDEX(タスク!G$5:G$300,MATCH(SMALL(タスク!$AB$5:$AB$300,ROWS($A$7:A95)),タスク!$AB$5:$AB$300,0))),"")</f>
        <v/>
      </c>
      <c r="H95" s="53" t="str">
        <f>IFERROR(IF(SMALL(タスク!$AB$5:$AB$300,ROWS($A$7:A95))&gt;=1000000000000,"",INDEX(タスク!H$5:H$300,MATCH(SMALL(タスク!$AB$5:$AB$300,ROWS($A$7:A95)),タスク!$AB$5:$AB$300,0))),"")</f>
        <v/>
      </c>
      <c r="I95" s="53" t="str">
        <f>IFERROR(IF(SMALL(タスク!$AB$5:$AB$300,ROWS($A$7:A95))&gt;=1000000000000,"",INDEX(タスク!I$5:I$300,MATCH(SMALL(タスク!$AB$5:$AB$300,ROWS($A$7:A95)),タスク!$AB$5:$AB$300,0))),"")</f>
        <v/>
      </c>
      <c r="J95" s="53" t="str">
        <f>IFERROR(IF(SMALL(タスク!$AB$5:$AB$300,ROWS($A$7:A95))&gt;=1000000000000,"",INDEX(タスク!J$5:J$300,MATCH(SMALL(タスク!$AB$5:$AB$300,ROWS($A$7:A95)),タスク!$AB$5:$AB$300,0))),"")</f>
        <v/>
      </c>
    </row>
    <row r="96" spans="1:10">
      <c r="A96" s="53" t="str">
        <f>IFERROR(IF(SMALL(タスク!$AB$5:$AB$300,ROWS($A$7:A96))&gt;=1000000000000,"",INDEX(タスク!A$5:A$300,MATCH(SMALL(タスク!$AB$5:$AB$300,ROWS($A$7:A96)),タスク!$AB$5:$AB$300,0))),"")</f>
        <v/>
      </c>
      <c r="B96" s="53" t="str">
        <f>IFERROR(IF(SMALL(タスク!$AB$5:$AB$300,ROWS($A$7:A96))&gt;=1000000000000,"",INDEX(タスク!B$5:B$300,MATCH(SMALL(タスク!$AB$5:$AB$300,ROWS($A$7:A96)),タスク!$AB$5:$AB$300,0))),"")</f>
        <v/>
      </c>
      <c r="C96" s="53" t="str">
        <f>IFERROR(IF(SMALL(タスク!$AB$5:$AB$300,ROWS($A$7:A96))&gt;=1000000000000,"",INDEX(タスク!C$5:C$300,MATCH(SMALL(タスク!$AB$5:$AB$300,ROWS($A$7:A96)),タスク!$AB$5:$AB$300,0))),"")</f>
        <v/>
      </c>
      <c r="D96" s="53" t="str">
        <f>IFERROR(IF(SMALL(タスク!$AB$5:$AB$300,ROWS($A$7:A96))&gt;=1000000000000,"",INDEX(タスク!D$5:D$300,MATCH(SMALL(タスク!$AB$5:$AB$300,ROWS($A$7:A96)),タスク!$AB$5:$AB$300,0))),"")</f>
        <v/>
      </c>
      <c r="E96" s="53" t="str">
        <f>IFERROR(IF(SMALL(タスク!$AB$5:$AB$300,ROWS($A$7:A96))&gt;=1000000000000,"",INDEX(タスク!E$5:E$300,MATCH(SMALL(タスク!$AB$5:$AB$300,ROWS($A$7:A96)),タスク!$AB$5:$AB$300,0))),"")</f>
        <v/>
      </c>
      <c r="F96" s="53" t="str">
        <f>IFERROR(IF(SMALL(タスク!$AB$5:$AB$300,ROWS($A$7:A96))&gt;=1000000000000,"",INDEX(タスク!F$5:F$300,MATCH(SMALL(タスク!$AB$5:$AB$300,ROWS($A$7:A96)),タスク!$AB$5:$AB$300,0))),"")</f>
        <v/>
      </c>
      <c r="G96" s="53" t="str">
        <f>IFERROR(IF(SMALL(タスク!$AB$5:$AB$300,ROWS($A$7:A96))&gt;=1000000000000,"",INDEX(タスク!G$5:G$300,MATCH(SMALL(タスク!$AB$5:$AB$300,ROWS($A$7:A96)),タスク!$AB$5:$AB$300,0))),"")</f>
        <v/>
      </c>
      <c r="H96" s="53" t="str">
        <f>IFERROR(IF(SMALL(タスク!$AB$5:$AB$300,ROWS($A$7:A96))&gt;=1000000000000,"",INDEX(タスク!H$5:H$300,MATCH(SMALL(タスク!$AB$5:$AB$300,ROWS($A$7:A96)),タスク!$AB$5:$AB$300,0))),"")</f>
        <v/>
      </c>
      <c r="I96" s="53" t="str">
        <f>IFERROR(IF(SMALL(タスク!$AB$5:$AB$300,ROWS($A$7:A96))&gt;=1000000000000,"",INDEX(タスク!I$5:I$300,MATCH(SMALL(タスク!$AB$5:$AB$300,ROWS($A$7:A96)),タスク!$AB$5:$AB$300,0))),"")</f>
        <v/>
      </c>
      <c r="J96" s="53" t="str">
        <f>IFERROR(IF(SMALL(タスク!$AB$5:$AB$300,ROWS($A$7:A96))&gt;=1000000000000,"",INDEX(タスク!J$5:J$300,MATCH(SMALL(タスク!$AB$5:$AB$300,ROWS($A$7:A96)),タスク!$AB$5:$AB$300,0))),"")</f>
        <v/>
      </c>
    </row>
    <row r="97" spans="1:10">
      <c r="A97" s="53" t="str">
        <f>IFERROR(IF(SMALL(タスク!$AB$5:$AB$300,ROWS($A$7:A97))&gt;=1000000000000,"",INDEX(タスク!A$5:A$300,MATCH(SMALL(タスク!$AB$5:$AB$300,ROWS($A$7:A97)),タスク!$AB$5:$AB$300,0))),"")</f>
        <v/>
      </c>
      <c r="B97" s="53" t="str">
        <f>IFERROR(IF(SMALL(タスク!$AB$5:$AB$300,ROWS($A$7:A97))&gt;=1000000000000,"",INDEX(タスク!B$5:B$300,MATCH(SMALL(タスク!$AB$5:$AB$300,ROWS($A$7:A97)),タスク!$AB$5:$AB$300,0))),"")</f>
        <v/>
      </c>
      <c r="C97" s="53" t="str">
        <f>IFERROR(IF(SMALL(タスク!$AB$5:$AB$300,ROWS($A$7:A97))&gt;=1000000000000,"",INDEX(タスク!C$5:C$300,MATCH(SMALL(タスク!$AB$5:$AB$300,ROWS($A$7:A97)),タスク!$AB$5:$AB$300,0))),"")</f>
        <v/>
      </c>
      <c r="D97" s="53" t="str">
        <f>IFERROR(IF(SMALL(タスク!$AB$5:$AB$300,ROWS($A$7:A97))&gt;=1000000000000,"",INDEX(タスク!D$5:D$300,MATCH(SMALL(タスク!$AB$5:$AB$300,ROWS($A$7:A97)),タスク!$AB$5:$AB$300,0))),"")</f>
        <v/>
      </c>
      <c r="E97" s="53" t="str">
        <f>IFERROR(IF(SMALL(タスク!$AB$5:$AB$300,ROWS($A$7:A97))&gt;=1000000000000,"",INDEX(タスク!E$5:E$300,MATCH(SMALL(タスク!$AB$5:$AB$300,ROWS($A$7:A97)),タスク!$AB$5:$AB$300,0))),"")</f>
        <v/>
      </c>
      <c r="F97" s="53" t="str">
        <f>IFERROR(IF(SMALL(タスク!$AB$5:$AB$300,ROWS($A$7:A97))&gt;=1000000000000,"",INDEX(タスク!F$5:F$300,MATCH(SMALL(タスク!$AB$5:$AB$300,ROWS($A$7:A97)),タスク!$AB$5:$AB$300,0))),"")</f>
        <v/>
      </c>
      <c r="G97" s="53" t="str">
        <f>IFERROR(IF(SMALL(タスク!$AB$5:$AB$300,ROWS($A$7:A97))&gt;=1000000000000,"",INDEX(タスク!G$5:G$300,MATCH(SMALL(タスク!$AB$5:$AB$300,ROWS($A$7:A97)),タスク!$AB$5:$AB$300,0))),"")</f>
        <v/>
      </c>
      <c r="H97" s="53" t="str">
        <f>IFERROR(IF(SMALL(タスク!$AB$5:$AB$300,ROWS($A$7:A97))&gt;=1000000000000,"",INDEX(タスク!H$5:H$300,MATCH(SMALL(タスク!$AB$5:$AB$300,ROWS($A$7:A97)),タスク!$AB$5:$AB$300,0))),"")</f>
        <v/>
      </c>
      <c r="I97" s="53" t="str">
        <f>IFERROR(IF(SMALL(タスク!$AB$5:$AB$300,ROWS($A$7:A97))&gt;=1000000000000,"",INDEX(タスク!I$5:I$300,MATCH(SMALL(タスク!$AB$5:$AB$300,ROWS($A$7:A97)),タスク!$AB$5:$AB$300,0))),"")</f>
        <v/>
      </c>
      <c r="J97" s="53" t="str">
        <f>IFERROR(IF(SMALL(タスク!$AB$5:$AB$300,ROWS($A$7:A97))&gt;=1000000000000,"",INDEX(タスク!J$5:J$300,MATCH(SMALL(タスク!$AB$5:$AB$300,ROWS($A$7:A97)),タスク!$AB$5:$AB$300,0))),"")</f>
        <v/>
      </c>
    </row>
    <row r="98" spans="1:10">
      <c r="A98" s="53" t="str">
        <f>IFERROR(IF(SMALL(タスク!$AB$5:$AB$300,ROWS($A$7:A98))&gt;=1000000000000,"",INDEX(タスク!A$5:A$300,MATCH(SMALL(タスク!$AB$5:$AB$300,ROWS($A$7:A98)),タスク!$AB$5:$AB$300,0))),"")</f>
        <v/>
      </c>
      <c r="B98" s="53" t="str">
        <f>IFERROR(IF(SMALL(タスク!$AB$5:$AB$300,ROWS($A$7:A98))&gt;=1000000000000,"",INDEX(タスク!B$5:B$300,MATCH(SMALL(タスク!$AB$5:$AB$300,ROWS($A$7:A98)),タスク!$AB$5:$AB$300,0))),"")</f>
        <v/>
      </c>
      <c r="C98" s="53" t="str">
        <f>IFERROR(IF(SMALL(タスク!$AB$5:$AB$300,ROWS($A$7:A98))&gt;=1000000000000,"",INDEX(タスク!C$5:C$300,MATCH(SMALL(タスク!$AB$5:$AB$300,ROWS($A$7:A98)),タスク!$AB$5:$AB$300,0))),"")</f>
        <v/>
      </c>
      <c r="D98" s="53" t="str">
        <f>IFERROR(IF(SMALL(タスク!$AB$5:$AB$300,ROWS($A$7:A98))&gt;=1000000000000,"",INDEX(タスク!D$5:D$300,MATCH(SMALL(タスク!$AB$5:$AB$300,ROWS($A$7:A98)),タスク!$AB$5:$AB$300,0))),"")</f>
        <v/>
      </c>
      <c r="E98" s="53" t="str">
        <f>IFERROR(IF(SMALL(タスク!$AB$5:$AB$300,ROWS($A$7:A98))&gt;=1000000000000,"",INDEX(タスク!E$5:E$300,MATCH(SMALL(タスク!$AB$5:$AB$300,ROWS($A$7:A98)),タスク!$AB$5:$AB$300,0))),"")</f>
        <v/>
      </c>
      <c r="F98" s="53" t="str">
        <f>IFERROR(IF(SMALL(タスク!$AB$5:$AB$300,ROWS($A$7:A98))&gt;=1000000000000,"",INDEX(タスク!F$5:F$300,MATCH(SMALL(タスク!$AB$5:$AB$300,ROWS($A$7:A98)),タスク!$AB$5:$AB$300,0))),"")</f>
        <v/>
      </c>
      <c r="G98" s="53" t="str">
        <f>IFERROR(IF(SMALL(タスク!$AB$5:$AB$300,ROWS($A$7:A98))&gt;=1000000000000,"",INDEX(タスク!G$5:G$300,MATCH(SMALL(タスク!$AB$5:$AB$300,ROWS($A$7:A98)),タスク!$AB$5:$AB$300,0))),"")</f>
        <v/>
      </c>
      <c r="H98" s="53" t="str">
        <f>IFERROR(IF(SMALL(タスク!$AB$5:$AB$300,ROWS($A$7:A98))&gt;=1000000000000,"",INDEX(タスク!H$5:H$300,MATCH(SMALL(タスク!$AB$5:$AB$300,ROWS($A$7:A98)),タスク!$AB$5:$AB$300,0))),"")</f>
        <v/>
      </c>
      <c r="I98" s="53" t="str">
        <f>IFERROR(IF(SMALL(タスク!$AB$5:$AB$300,ROWS($A$7:A98))&gt;=1000000000000,"",INDEX(タスク!I$5:I$300,MATCH(SMALL(タスク!$AB$5:$AB$300,ROWS($A$7:A98)),タスク!$AB$5:$AB$300,0))),"")</f>
        <v/>
      </c>
      <c r="J98" s="53" t="str">
        <f>IFERROR(IF(SMALL(タスク!$AB$5:$AB$300,ROWS($A$7:A98))&gt;=1000000000000,"",INDEX(タスク!J$5:J$300,MATCH(SMALL(タスク!$AB$5:$AB$300,ROWS($A$7:A98)),タスク!$AB$5:$AB$300,0))),"")</f>
        <v/>
      </c>
    </row>
    <row r="99" spans="1:10">
      <c r="A99" s="53" t="str">
        <f>IFERROR(IF(SMALL(タスク!$AB$5:$AB$300,ROWS($A$7:A99))&gt;=1000000000000,"",INDEX(タスク!A$5:A$300,MATCH(SMALL(タスク!$AB$5:$AB$300,ROWS($A$7:A99)),タスク!$AB$5:$AB$300,0))),"")</f>
        <v/>
      </c>
      <c r="B99" s="53" t="str">
        <f>IFERROR(IF(SMALL(タスク!$AB$5:$AB$300,ROWS($A$7:A99))&gt;=1000000000000,"",INDEX(タスク!B$5:B$300,MATCH(SMALL(タスク!$AB$5:$AB$300,ROWS($A$7:A99)),タスク!$AB$5:$AB$300,0))),"")</f>
        <v/>
      </c>
      <c r="C99" s="53" t="str">
        <f>IFERROR(IF(SMALL(タスク!$AB$5:$AB$300,ROWS($A$7:A99))&gt;=1000000000000,"",INDEX(タスク!C$5:C$300,MATCH(SMALL(タスク!$AB$5:$AB$300,ROWS($A$7:A99)),タスク!$AB$5:$AB$300,0))),"")</f>
        <v/>
      </c>
      <c r="D99" s="53" t="str">
        <f>IFERROR(IF(SMALL(タスク!$AB$5:$AB$300,ROWS($A$7:A99))&gt;=1000000000000,"",INDEX(タスク!D$5:D$300,MATCH(SMALL(タスク!$AB$5:$AB$300,ROWS($A$7:A99)),タスク!$AB$5:$AB$300,0))),"")</f>
        <v/>
      </c>
      <c r="E99" s="53" t="str">
        <f>IFERROR(IF(SMALL(タスク!$AB$5:$AB$300,ROWS($A$7:A99))&gt;=1000000000000,"",INDEX(タスク!E$5:E$300,MATCH(SMALL(タスク!$AB$5:$AB$300,ROWS($A$7:A99)),タスク!$AB$5:$AB$300,0))),"")</f>
        <v/>
      </c>
      <c r="F99" s="53" t="str">
        <f>IFERROR(IF(SMALL(タスク!$AB$5:$AB$300,ROWS($A$7:A99))&gt;=1000000000000,"",INDEX(タスク!F$5:F$300,MATCH(SMALL(タスク!$AB$5:$AB$300,ROWS($A$7:A99)),タスク!$AB$5:$AB$300,0))),"")</f>
        <v/>
      </c>
      <c r="G99" s="53" t="str">
        <f>IFERROR(IF(SMALL(タスク!$AB$5:$AB$300,ROWS($A$7:A99))&gt;=1000000000000,"",INDEX(タスク!G$5:G$300,MATCH(SMALL(タスク!$AB$5:$AB$300,ROWS($A$7:A99)),タスク!$AB$5:$AB$300,0))),"")</f>
        <v/>
      </c>
      <c r="H99" s="53" t="str">
        <f>IFERROR(IF(SMALL(タスク!$AB$5:$AB$300,ROWS($A$7:A99))&gt;=1000000000000,"",INDEX(タスク!H$5:H$300,MATCH(SMALL(タスク!$AB$5:$AB$300,ROWS($A$7:A99)),タスク!$AB$5:$AB$300,0))),"")</f>
        <v/>
      </c>
      <c r="I99" s="53" t="str">
        <f>IFERROR(IF(SMALL(タスク!$AB$5:$AB$300,ROWS($A$7:A99))&gt;=1000000000000,"",INDEX(タスク!I$5:I$300,MATCH(SMALL(タスク!$AB$5:$AB$300,ROWS($A$7:A99)),タスク!$AB$5:$AB$300,0))),"")</f>
        <v/>
      </c>
      <c r="J99" s="53" t="str">
        <f>IFERROR(IF(SMALL(タスク!$AB$5:$AB$300,ROWS($A$7:A99))&gt;=1000000000000,"",INDEX(タスク!J$5:J$300,MATCH(SMALL(タスク!$AB$5:$AB$300,ROWS($A$7:A99)),タスク!$AB$5:$AB$300,0))),"")</f>
        <v/>
      </c>
    </row>
    <row r="100" spans="1:10">
      <c r="A100" s="53" t="str">
        <f>IFERROR(IF(SMALL(タスク!$AB$5:$AB$300,ROWS($A$7:A100))&gt;=1000000000000,"",INDEX(タスク!A$5:A$300,MATCH(SMALL(タスク!$AB$5:$AB$300,ROWS($A$7:A100)),タスク!$AB$5:$AB$300,0))),"")</f>
        <v/>
      </c>
      <c r="B100" s="53" t="str">
        <f>IFERROR(IF(SMALL(タスク!$AB$5:$AB$300,ROWS($A$7:A100))&gt;=1000000000000,"",INDEX(タスク!B$5:B$300,MATCH(SMALL(タスク!$AB$5:$AB$300,ROWS($A$7:A100)),タスク!$AB$5:$AB$300,0))),"")</f>
        <v/>
      </c>
      <c r="C100" s="53" t="str">
        <f>IFERROR(IF(SMALL(タスク!$AB$5:$AB$300,ROWS($A$7:A100))&gt;=1000000000000,"",INDEX(タスク!C$5:C$300,MATCH(SMALL(タスク!$AB$5:$AB$300,ROWS($A$7:A100)),タスク!$AB$5:$AB$300,0))),"")</f>
        <v/>
      </c>
      <c r="D100" s="53" t="str">
        <f>IFERROR(IF(SMALL(タスク!$AB$5:$AB$300,ROWS($A$7:A100))&gt;=1000000000000,"",INDEX(タスク!D$5:D$300,MATCH(SMALL(タスク!$AB$5:$AB$300,ROWS($A$7:A100)),タスク!$AB$5:$AB$300,0))),"")</f>
        <v/>
      </c>
      <c r="E100" s="53" t="str">
        <f>IFERROR(IF(SMALL(タスク!$AB$5:$AB$300,ROWS($A$7:A100))&gt;=1000000000000,"",INDEX(タスク!E$5:E$300,MATCH(SMALL(タスク!$AB$5:$AB$300,ROWS($A$7:A100)),タスク!$AB$5:$AB$300,0))),"")</f>
        <v/>
      </c>
      <c r="F100" s="53" t="str">
        <f>IFERROR(IF(SMALL(タスク!$AB$5:$AB$300,ROWS($A$7:A100))&gt;=1000000000000,"",INDEX(タスク!F$5:F$300,MATCH(SMALL(タスク!$AB$5:$AB$300,ROWS($A$7:A100)),タスク!$AB$5:$AB$300,0))),"")</f>
        <v/>
      </c>
      <c r="G100" s="53" t="str">
        <f>IFERROR(IF(SMALL(タスク!$AB$5:$AB$300,ROWS($A$7:A100))&gt;=1000000000000,"",INDEX(タスク!G$5:G$300,MATCH(SMALL(タスク!$AB$5:$AB$300,ROWS($A$7:A100)),タスク!$AB$5:$AB$300,0))),"")</f>
        <v/>
      </c>
      <c r="H100" s="53" t="str">
        <f>IFERROR(IF(SMALL(タスク!$AB$5:$AB$300,ROWS($A$7:A100))&gt;=1000000000000,"",INDEX(タスク!H$5:H$300,MATCH(SMALL(タスク!$AB$5:$AB$300,ROWS($A$7:A100)),タスク!$AB$5:$AB$300,0))),"")</f>
        <v/>
      </c>
      <c r="I100" s="53" t="str">
        <f>IFERROR(IF(SMALL(タスク!$AB$5:$AB$300,ROWS($A$7:A100))&gt;=1000000000000,"",INDEX(タスク!I$5:I$300,MATCH(SMALL(タスク!$AB$5:$AB$300,ROWS($A$7:A100)),タスク!$AB$5:$AB$300,0))),"")</f>
        <v/>
      </c>
      <c r="J100" s="53" t="str">
        <f>IFERROR(IF(SMALL(タスク!$AB$5:$AB$300,ROWS($A$7:A100))&gt;=1000000000000,"",INDEX(タスク!J$5:J$300,MATCH(SMALL(タスク!$AB$5:$AB$300,ROWS($A$7:A100)),タスク!$AB$5:$AB$300,0))),"")</f>
        <v/>
      </c>
    </row>
    <row r="101" spans="1:10">
      <c r="A101" s="53" t="str">
        <f>IFERROR(IF(SMALL(タスク!$AB$5:$AB$300,ROWS($A$7:A101))&gt;=1000000000000,"",INDEX(タスク!A$5:A$300,MATCH(SMALL(タスク!$AB$5:$AB$300,ROWS($A$7:A101)),タスク!$AB$5:$AB$300,0))),"")</f>
        <v/>
      </c>
      <c r="B101" s="53" t="str">
        <f>IFERROR(IF(SMALL(タスク!$AB$5:$AB$300,ROWS($A$7:A101))&gt;=1000000000000,"",INDEX(タスク!B$5:B$300,MATCH(SMALL(タスク!$AB$5:$AB$300,ROWS($A$7:A101)),タスク!$AB$5:$AB$300,0))),"")</f>
        <v/>
      </c>
      <c r="C101" s="53" t="str">
        <f>IFERROR(IF(SMALL(タスク!$AB$5:$AB$300,ROWS($A$7:A101))&gt;=1000000000000,"",INDEX(タスク!C$5:C$300,MATCH(SMALL(タスク!$AB$5:$AB$300,ROWS($A$7:A101)),タスク!$AB$5:$AB$300,0))),"")</f>
        <v/>
      </c>
      <c r="D101" s="53" t="str">
        <f>IFERROR(IF(SMALL(タスク!$AB$5:$AB$300,ROWS($A$7:A101))&gt;=1000000000000,"",INDEX(タスク!D$5:D$300,MATCH(SMALL(タスク!$AB$5:$AB$300,ROWS($A$7:A101)),タスク!$AB$5:$AB$300,0))),"")</f>
        <v/>
      </c>
      <c r="E101" s="53" t="str">
        <f>IFERROR(IF(SMALL(タスク!$AB$5:$AB$300,ROWS($A$7:A101))&gt;=1000000000000,"",INDEX(タスク!E$5:E$300,MATCH(SMALL(タスク!$AB$5:$AB$300,ROWS($A$7:A101)),タスク!$AB$5:$AB$300,0))),"")</f>
        <v/>
      </c>
      <c r="F101" s="53" t="str">
        <f>IFERROR(IF(SMALL(タスク!$AB$5:$AB$300,ROWS($A$7:A101))&gt;=1000000000000,"",INDEX(タスク!F$5:F$300,MATCH(SMALL(タスク!$AB$5:$AB$300,ROWS($A$7:A101)),タスク!$AB$5:$AB$300,0))),"")</f>
        <v/>
      </c>
      <c r="G101" s="53" t="str">
        <f>IFERROR(IF(SMALL(タスク!$AB$5:$AB$300,ROWS($A$7:A101))&gt;=1000000000000,"",INDEX(タスク!G$5:G$300,MATCH(SMALL(タスク!$AB$5:$AB$300,ROWS($A$7:A101)),タスク!$AB$5:$AB$300,0))),"")</f>
        <v/>
      </c>
      <c r="H101" s="53" t="str">
        <f>IFERROR(IF(SMALL(タスク!$AB$5:$AB$300,ROWS($A$7:A101))&gt;=1000000000000,"",INDEX(タスク!H$5:H$300,MATCH(SMALL(タスク!$AB$5:$AB$300,ROWS($A$7:A101)),タスク!$AB$5:$AB$300,0))),"")</f>
        <v/>
      </c>
      <c r="I101" s="53" t="str">
        <f>IFERROR(IF(SMALL(タスク!$AB$5:$AB$300,ROWS($A$7:A101))&gt;=1000000000000,"",INDEX(タスク!I$5:I$300,MATCH(SMALL(タスク!$AB$5:$AB$300,ROWS($A$7:A101)),タスク!$AB$5:$AB$300,0))),"")</f>
        <v/>
      </c>
      <c r="J101" s="53" t="str">
        <f>IFERROR(IF(SMALL(タスク!$AB$5:$AB$300,ROWS($A$7:A101))&gt;=1000000000000,"",INDEX(タスク!J$5:J$300,MATCH(SMALL(タスク!$AB$5:$AB$300,ROWS($A$7:A101)),タスク!$AB$5:$AB$300,0))),"")</f>
        <v/>
      </c>
    </row>
    <row r="102" spans="1:10">
      <c r="A102" s="53" t="str">
        <f>IFERROR(IF(SMALL(タスク!$AB$5:$AB$300,ROWS($A$7:A102))&gt;=1000000000000,"",INDEX(タスク!A$5:A$300,MATCH(SMALL(タスク!$AB$5:$AB$300,ROWS($A$7:A102)),タスク!$AB$5:$AB$300,0))),"")</f>
        <v/>
      </c>
      <c r="B102" s="53" t="str">
        <f>IFERROR(IF(SMALL(タスク!$AB$5:$AB$300,ROWS($A$7:A102))&gt;=1000000000000,"",INDEX(タスク!B$5:B$300,MATCH(SMALL(タスク!$AB$5:$AB$300,ROWS($A$7:A102)),タスク!$AB$5:$AB$300,0))),"")</f>
        <v/>
      </c>
      <c r="C102" s="53" t="str">
        <f>IFERROR(IF(SMALL(タスク!$AB$5:$AB$300,ROWS($A$7:A102))&gt;=1000000000000,"",INDEX(タスク!C$5:C$300,MATCH(SMALL(タスク!$AB$5:$AB$300,ROWS($A$7:A102)),タスク!$AB$5:$AB$300,0))),"")</f>
        <v/>
      </c>
      <c r="D102" s="53" t="str">
        <f>IFERROR(IF(SMALL(タスク!$AB$5:$AB$300,ROWS($A$7:A102))&gt;=1000000000000,"",INDEX(タスク!D$5:D$300,MATCH(SMALL(タスク!$AB$5:$AB$300,ROWS($A$7:A102)),タスク!$AB$5:$AB$300,0))),"")</f>
        <v/>
      </c>
      <c r="E102" s="53" t="str">
        <f>IFERROR(IF(SMALL(タスク!$AB$5:$AB$300,ROWS($A$7:A102))&gt;=1000000000000,"",INDEX(タスク!E$5:E$300,MATCH(SMALL(タスク!$AB$5:$AB$300,ROWS($A$7:A102)),タスク!$AB$5:$AB$300,0))),"")</f>
        <v/>
      </c>
      <c r="F102" s="53" t="str">
        <f>IFERROR(IF(SMALL(タスク!$AB$5:$AB$300,ROWS($A$7:A102))&gt;=1000000000000,"",INDEX(タスク!F$5:F$300,MATCH(SMALL(タスク!$AB$5:$AB$300,ROWS($A$7:A102)),タスク!$AB$5:$AB$300,0))),"")</f>
        <v/>
      </c>
      <c r="G102" s="53" t="str">
        <f>IFERROR(IF(SMALL(タスク!$AB$5:$AB$300,ROWS($A$7:A102))&gt;=1000000000000,"",INDEX(タスク!G$5:G$300,MATCH(SMALL(タスク!$AB$5:$AB$300,ROWS($A$7:A102)),タスク!$AB$5:$AB$300,0))),"")</f>
        <v/>
      </c>
      <c r="H102" s="53" t="str">
        <f>IFERROR(IF(SMALL(タスク!$AB$5:$AB$300,ROWS($A$7:A102))&gt;=1000000000000,"",INDEX(タスク!H$5:H$300,MATCH(SMALL(タスク!$AB$5:$AB$300,ROWS($A$7:A102)),タスク!$AB$5:$AB$300,0))),"")</f>
        <v/>
      </c>
      <c r="I102" s="53" t="str">
        <f>IFERROR(IF(SMALL(タスク!$AB$5:$AB$300,ROWS($A$7:A102))&gt;=1000000000000,"",INDEX(タスク!I$5:I$300,MATCH(SMALL(タスク!$AB$5:$AB$300,ROWS($A$7:A102)),タスク!$AB$5:$AB$300,0))),"")</f>
        <v/>
      </c>
      <c r="J102" s="53" t="str">
        <f>IFERROR(IF(SMALL(タスク!$AB$5:$AB$300,ROWS($A$7:A102))&gt;=1000000000000,"",INDEX(タスク!J$5:J$300,MATCH(SMALL(タスク!$AB$5:$AB$300,ROWS($A$7:A102)),タスク!$AB$5:$AB$300,0))),"")</f>
        <v/>
      </c>
    </row>
    <row r="103" spans="1:10">
      <c r="A103" s="53" t="str">
        <f>IFERROR(IF(SMALL(タスク!$AB$5:$AB$300,ROWS($A$7:A103))&gt;=1000000000000,"",INDEX(タスク!A$5:A$300,MATCH(SMALL(タスク!$AB$5:$AB$300,ROWS($A$7:A103)),タスク!$AB$5:$AB$300,0))),"")</f>
        <v/>
      </c>
      <c r="B103" s="53" t="str">
        <f>IFERROR(IF(SMALL(タスク!$AB$5:$AB$300,ROWS($A$7:A103))&gt;=1000000000000,"",INDEX(タスク!B$5:B$300,MATCH(SMALL(タスク!$AB$5:$AB$300,ROWS($A$7:A103)),タスク!$AB$5:$AB$300,0))),"")</f>
        <v/>
      </c>
      <c r="C103" s="53" t="str">
        <f>IFERROR(IF(SMALL(タスク!$AB$5:$AB$300,ROWS($A$7:A103))&gt;=1000000000000,"",INDEX(タスク!C$5:C$300,MATCH(SMALL(タスク!$AB$5:$AB$300,ROWS($A$7:A103)),タスク!$AB$5:$AB$300,0))),"")</f>
        <v/>
      </c>
      <c r="D103" s="53" t="str">
        <f>IFERROR(IF(SMALL(タスク!$AB$5:$AB$300,ROWS($A$7:A103))&gt;=1000000000000,"",INDEX(タスク!D$5:D$300,MATCH(SMALL(タスク!$AB$5:$AB$300,ROWS($A$7:A103)),タスク!$AB$5:$AB$300,0))),"")</f>
        <v/>
      </c>
      <c r="E103" s="53" t="str">
        <f>IFERROR(IF(SMALL(タスク!$AB$5:$AB$300,ROWS($A$7:A103))&gt;=1000000000000,"",INDEX(タスク!E$5:E$300,MATCH(SMALL(タスク!$AB$5:$AB$300,ROWS($A$7:A103)),タスク!$AB$5:$AB$300,0))),"")</f>
        <v/>
      </c>
      <c r="F103" s="53" t="str">
        <f>IFERROR(IF(SMALL(タスク!$AB$5:$AB$300,ROWS($A$7:A103))&gt;=1000000000000,"",INDEX(タスク!F$5:F$300,MATCH(SMALL(タスク!$AB$5:$AB$300,ROWS($A$7:A103)),タスク!$AB$5:$AB$300,0))),"")</f>
        <v/>
      </c>
      <c r="G103" s="53" t="str">
        <f>IFERROR(IF(SMALL(タスク!$AB$5:$AB$300,ROWS($A$7:A103))&gt;=1000000000000,"",INDEX(タスク!G$5:G$300,MATCH(SMALL(タスク!$AB$5:$AB$300,ROWS($A$7:A103)),タスク!$AB$5:$AB$300,0))),"")</f>
        <v/>
      </c>
      <c r="H103" s="53" t="str">
        <f>IFERROR(IF(SMALL(タスク!$AB$5:$AB$300,ROWS($A$7:A103))&gt;=1000000000000,"",INDEX(タスク!H$5:H$300,MATCH(SMALL(タスク!$AB$5:$AB$300,ROWS($A$7:A103)),タスク!$AB$5:$AB$300,0))),"")</f>
        <v/>
      </c>
      <c r="I103" s="53" t="str">
        <f>IFERROR(IF(SMALL(タスク!$AB$5:$AB$300,ROWS($A$7:A103))&gt;=1000000000000,"",INDEX(タスク!I$5:I$300,MATCH(SMALL(タスク!$AB$5:$AB$300,ROWS($A$7:A103)),タスク!$AB$5:$AB$300,0))),"")</f>
        <v/>
      </c>
      <c r="J103" s="53" t="str">
        <f>IFERROR(IF(SMALL(タスク!$AB$5:$AB$300,ROWS($A$7:A103))&gt;=1000000000000,"",INDEX(タスク!J$5:J$300,MATCH(SMALL(タスク!$AB$5:$AB$300,ROWS($A$7:A103)),タスク!$AB$5:$AB$300,0))),"")</f>
        <v/>
      </c>
    </row>
    <row r="104" spans="1:10">
      <c r="A104" s="53" t="str">
        <f>IFERROR(IF(SMALL(タスク!$AB$5:$AB$300,ROWS($A$7:A104))&gt;=1000000000000,"",INDEX(タスク!A$5:A$300,MATCH(SMALL(タスク!$AB$5:$AB$300,ROWS($A$7:A104)),タスク!$AB$5:$AB$300,0))),"")</f>
        <v/>
      </c>
      <c r="B104" s="53" t="str">
        <f>IFERROR(IF(SMALL(タスク!$AB$5:$AB$300,ROWS($A$7:A104))&gt;=1000000000000,"",INDEX(タスク!B$5:B$300,MATCH(SMALL(タスク!$AB$5:$AB$300,ROWS($A$7:A104)),タスク!$AB$5:$AB$300,0))),"")</f>
        <v/>
      </c>
      <c r="C104" s="53" t="str">
        <f>IFERROR(IF(SMALL(タスク!$AB$5:$AB$300,ROWS($A$7:A104))&gt;=1000000000000,"",INDEX(タスク!C$5:C$300,MATCH(SMALL(タスク!$AB$5:$AB$300,ROWS($A$7:A104)),タスク!$AB$5:$AB$300,0))),"")</f>
        <v/>
      </c>
      <c r="D104" s="53" t="str">
        <f>IFERROR(IF(SMALL(タスク!$AB$5:$AB$300,ROWS($A$7:A104))&gt;=1000000000000,"",INDEX(タスク!D$5:D$300,MATCH(SMALL(タスク!$AB$5:$AB$300,ROWS($A$7:A104)),タスク!$AB$5:$AB$300,0))),"")</f>
        <v/>
      </c>
      <c r="E104" s="53" t="str">
        <f>IFERROR(IF(SMALL(タスク!$AB$5:$AB$300,ROWS($A$7:A104))&gt;=1000000000000,"",INDEX(タスク!E$5:E$300,MATCH(SMALL(タスク!$AB$5:$AB$300,ROWS($A$7:A104)),タスク!$AB$5:$AB$300,0))),"")</f>
        <v/>
      </c>
      <c r="F104" s="53" t="str">
        <f>IFERROR(IF(SMALL(タスク!$AB$5:$AB$300,ROWS($A$7:A104))&gt;=1000000000000,"",INDEX(タスク!F$5:F$300,MATCH(SMALL(タスク!$AB$5:$AB$300,ROWS($A$7:A104)),タスク!$AB$5:$AB$300,0))),"")</f>
        <v/>
      </c>
      <c r="G104" s="53" t="str">
        <f>IFERROR(IF(SMALL(タスク!$AB$5:$AB$300,ROWS($A$7:A104))&gt;=1000000000000,"",INDEX(タスク!G$5:G$300,MATCH(SMALL(タスク!$AB$5:$AB$300,ROWS($A$7:A104)),タスク!$AB$5:$AB$300,0))),"")</f>
        <v/>
      </c>
      <c r="H104" s="53" t="str">
        <f>IFERROR(IF(SMALL(タスク!$AB$5:$AB$300,ROWS($A$7:A104))&gt;=1000000000000,"",INDEX(タスク!H$5:H$300,MATCH(SMALL(タスク!$AB$5:$AB$300,ROWS($A$7:A104)),タスク!$AB$5:$AB$300,0))),"")</f>
        <v/>
      </c>
      <c r="I104" s="53" t="str">
        <f>IFERROR(IF(SMALL(タスク!$AB$5:$AB$300,ROWS($A$7:A104))&gt;=1000000000000,"",INDEX(タスク!I$5:I$300,MATCH(SMALL(タスク!$AB$5:$AB$300,ROWS($A$7:A104)),タスク!$AB$5:$AB$300,0))),"")</f>
        <v/>
      </c>
      <c r="J104" s="53" t="str">
        <f>IFERROR(IF(SMALL(タスク!$AB$5:$AB$300,ROWS($A$7:A104))&gt;=1000000000000,"",INDEX(タスク!J$5:J$300,MATCH(SMALL(タスク!$AB$5:$AB$300,ROWS($A$7:A104)),タスク!$AB$5:$AB$300,0))),"")</f>
        <v/>
      </c>
    </row>
    <row r="105" spans="1:10">
      <c r="A105" s="53" t="str">
        <f>IFERROR(IF(SMALL(タスク!$AB$5:$AB$300,ROWS($A$7:A105))&gt;=1000000000000,"",INDEX(タスク!A$5:A$300,MATCH(SMALL(タスク!$AB$5:$AB$300,ROWS($A$7:A105)),タスク!$AB$5:$AB$300,0))),"")</f>
        <v/>
      </c>
      <c r="B105" s="53" t="str">
        <f>IFERROR(IF(SMALL(タスク!$AB$5:$AB$300,ROWS($A$7:A105))&gt;=1000000000000,"",INDEX(タスク!B$5:B$300,MATCH(SMALL(タスク!$AB$5:$AB$300,ROWS($A$7:A105)),タスク!$AB$5:$AB$300,0))),"")</f>
        <v/>
      </c>
      <c r="C105" s="53" t="str">
        <f>IFERROR(IF(SMALL(タスク!$AB$5:$AB$300,ROWS($A$7:A105))&gt;=1000000000000,"",INDEX(タスク!C$5:C$300,MATCH(SMALL(タスク!$AB$5:$AB$300,ROWS($A$7:A105)),タスク!$AB$5:$AB$300,0))),"")</f>
        <v/>
      </c>
      <c r="D105" s="53" t="str">
        <f>IFERROR(IF(SMALL(タスク!$AB$5:$AB$300,ROWS($A$7:A105))&gt;=1000000000000,"",INDEX(タスク!D$5:D$300,MATCH(SMALL(タスク!$AB$5:$AB$300,ROWS($A$7:A105)),タスク!$AB$5:$AB$300,0))),"")</f>
        <v/>
      </c>
      <c r="E105" s="53" t="str">
        <f>IFERROR(IF(SMALL(タスク!$AB$5:$AB$300,ROWS($A$7:A105))&gt;=1000000000000,"",INDEX(タスク!E$5:E$300,MATCH(SMALL(タスク!$AB$5:$AB$300,ROWS($A$7:A105)),タスク!$AB$5:$AB$300,0))),"")</f>
        <v/>
      </c>
      <c r="F105" s="53" t="str">
        <f>IFERROR(IF(SMALL(タスク!$AB$5:$AB$300,ROWS($A$7:A105))&gt;=1000000000000,"",INDEX(タスク!F$5:F$300,MATCH(SMALL(タスク!$AB$5:$AB$300,ROWS($A$7:A105)),タスク!$AB$5:$AB$300,0))),"")</f>
        <v/>
      </c>
      <c r="G105" s="53" t="str">
        <f>IFERROR(IF(SMALL(タスク!$AB$5:$AB$300,ROWS($A$7:A105))&gt;=1000000000000,"",INDEX(タスク!G$5:G$300,MATCH(SMALL(タスク!$AB$5:$AB$300,ROWS($A$7:A105)),タスク!$AB$5:$AB$300,0))),"")</f>
        <v/>
      </c>
      <c r="H105" s="53" t="str">
        <f>IFERROR(IF(SMALL(タスク!$AB$5:$AB$300,ROWS($A$7:A105))&gt;=1000000000000,"",INDEX(タスク!H$5:H$300,MATCH(SMALL(タスク!$AB$5:$AB$300,ROWS($A$7:A105)),タスク!$AB$5:$AB$300,0))),"")</f>
        <v/>
      </c>
      <c r="I105" s="53" t="str">
        <f>IFERROR(IF(SMALL(タスク!$AB$5:$AB$300,ROWS($A$7:A105))&gt;=1000000000000,"",INDEX(タスク!I$5:I$300,MATCH(SMALL(タスク!$AB$5:$AB$300,ROWS($A$7:A105)),タスク!$AB$5:$AB$300,0))),"")</f>
        <v/>
      </c>
      <c r="J105" s="53" t="str">
        <f>IFERROR(IF(SMALL(タスク!$AB$5:$AB$300,ROWS($A$7:A105))&gt;=1000000000000,"",INDEX(タスク!J$5:J$300,MATCH(SMALL(タスク!$AB$5:$AB$300,ROWS($A$7:A105)),タスク!$AB$5:$AB$300,0))),"")</f>
        <v/>
      </c>
    </row>
    <row r="106" spans="1:10">
      <c r="A106" s="53" t="str">
        <f>IFERROR(IF(SMALL(タスク!$AB$5:$AB$300,ROWS($A$7:A106))&gt;=1000000000000,"",INDEX(タスク!A$5:A$300,MATCH(SMALL(タスク!$AB$5:$AB$300,ROWS($A$7:A106)),タスク!$AB$5:$AB$300,0))),"")</f>
        <v/>
      </c>
      <c r="B106" s="53" t="str">
        <f>IFERROR(IF(SMALL(タスク!$AB$5:$AB$300,ROWS($A$7:A106))&gt;=1000000000000,"",INDEX(タスク!B$5:B$300,MATCH(SMALL(タスク!$AB$5:$AB$300,ROWS($A$7:A106)),タスク!$AB$5:$AB$300,0))),"")</f>
        <v/>
      </c>
      <c r="C106" s="53" t="str">
        <f>IFERROR(IF(SMALL(タスク!$AB$5:$AB$300,ROWS($A$7:A106))&gt;=1000000000000,"",INDEX(タスク!C$5:C$300,MATCH(SMALL(タスク!$AB$5:$AB$300,ROWS($A$7:A106)),タスク!$AB$5:$AB$300,0))),"")</f>
        <v/>
      </c>
      <c r="D106" s="53" t="str">
        <f>IFERROR(IF(SMALL(タスク!$AB$5:$AB$300,ROWS($A$7:A106))&gt;=1000000000000,"",INDEX(タスク!D$5:D$300,MATCH(SMALL(タスク!$AB$5:$AB$300,ROWS($A$7:A106)),タスク!$AB$5:$AB$300,0))),"")</f>
        <v/>
      </c>
      <c r="E106" s="53" t="str">
        <f>IFERROR(IF(SMALL(タスク!$AB$5:$AB$300,ROWS($A$7:A106))&gt;=1000000000000,"",INDEX(タスク!E$5:E$300,MATCH(SMALL(タスク!$AB$5:$AB$300,ROWS($A$7:A106)),タスク!$AB$5:$AB$300,0))),"")</f>
        <v/>
      </c>
      <c r="F106" s="53" t="str">
        <f>IFERROR(IF(SMALL(タスク!$AB$5:$AB$300,ROWS($A$7:A106))&gt;=1000000000000,"",INDEX(タスク!F$5:F$300,MATCH(SMALL(タスク!$AB$5:$AB$300,ROWS($A$7:A106)),タスク!$AB$5:$AB$300,0))),"")</f>
        <v/>
      </c>
      <c r="G106" s="53" t="str">
        <f>IFERROR(IF(SMALL(タスク!$AB$5:$AB$300,ROWS($A$7:A106))&gt;=1000000000000,"",INDEX(タスク!G$5:G$300,MATCH(SMALL(タスク!$AB$5:$AB$300,ROWS($A$7:A106)),タスク!$AB$5:$AB$300,0))),"")</f>
        <v/>
      </c>
      <c r="H106" s="53" t="str">
        <f>IFERROR(IF(SMALL(タスク!$AB$5:$AB$300,ROWS($A$7:A106))&gt;=1000000000000,"",INDEX(タスク!H$5:H$300,MATCH(SMALL(タスク!$AB$5:$AB$300,ROWS($A$7:A106)),タスク!$AB$5:$AB$300,0))),"")</f>
        <v/>
      </c>
      <c r="I106" s="53" t="str">
        <f>IFERROR(IF(SMALL(タスク!$AB$5:$AB$300,ROWS($A$7:A106))&gt;=1000000000000,"",INDEX(タスク!I$5:I$300,MATCH(SMALL(タスク!$AB$5:$AB$300,ROWS($A$7:A106)),タスク!$AB$5:$AB$300,0))),"")</f>
        <v/>
      </c>
      <c r="J106" s="53" t="str">
        <f>IFERROR(IF(SMALL(タスク!$AB$5:$AB$300,ROWS($A$7:A106))&gt;=1000000000000,"",INDEX(タスク!J$5:J$300,MATCH(SMALL(タスク!$AB$5:$AB$300,ROWS($A$7:A106)),タスク!$AB$5:$AB$300,0))),"")</f>
        <v/>
      </c>
    </row>
    <row r="107" spans="1:10">
      <c r="A107" s="53" t="str">
        <f>IFERROR(IF(SMALL(タスク!$AB$5:$AB$300,ROWS($A$7:A107))&gt;=1000000000000,"",INDEX(タスク!A$5:A$300,MATCH(SMALL(タスク!$AB$5:$AB$300,ROWS($A$7:A107)),タスク!$AB$5:$AB$300,0))),"")</f>
        <v/>
      </c>
      <c r="B107" s="53" t="str">
        <f>IFERROR(IF(SMALL(タスク!$AB$5:$AB$300,ROWS($A$7:A107))&gt;=1000000000000,"",INDEX(タスク!B$5:B$300,MATCH(SMALL(タスク!$AB$5:$AB$300,ROWS($A$7:A107)),タスク!$AB$5:$AB$300,0))),"")</f>
        <v/>
      </c>
      <c r="C107" s="53" t="str">
        <f>IFERROR(IF(SMALL(タスク!$AB$5:$AB$300,ROWS($A$7:A107))&gt;=1000000000000,"",INDEX(タスク!C$5:C$300,MATCH(SMALL(タスク!$AB$5:$AB$300,ROWS($A$7:A107)),タスク!$AB$5:$AB$300,0))),"")</f>
        <v/>
      </c>
      <c r="D107" s="53" t="str">
        <f>IFERROR(IF(SMALL(タスク!$AB$5:$AB$300,ROWS($A$7:A107))&gt;=1000000000000,"",INDEX(タスク!D$5:D$300,MATCH(SMALL(タスク!$AB$5:$AB$300,ROWS($A$7:A107)),タスク!$AB$5:$AB$300,0))),"")</f>
        <v/>
      </c>
      <c r="E107" s="53" t="str">
        <f>IFERROR(IF(SMALL(タスク!$AB$5:$AB$300,ROWS($A$7:A107))&gt;=1000000000000,"",INDEX(タスク!E$5:E$300,MATCH(SMALL(タスク!$AB$5:$AB$300,ROWS($A$7:A107)),タスク!$AB$5:$AB$300,0))),"")</f>
        <v/>
      </c>
      <c r="F107" s="53" t="str">
        <f>IFERROR(IF(SMALL(タスク!$AB$5:$AB$300,ROWS($A$7:A107))&gt;=1000000000000,"",INDEX(タスク!F$5:F$300,MATCH(SMALL(タスク!$AB$5:$AB$300,ROWS($A$7:A107)),タスク!$AB$5:$AB$300,0))),"")</f>
        <v/>
      </c>
      <c r="G107" s="53" t="str">
        <f>IFERROR(IF(SMALL(タスク!$AB$5:$AB$300,ROWS($A$7:A107))&gt;=1000000000000,"",INDEX(タスク!G$5:G$300,MATCH(SMALL(タスク!$AB$5:$AB$300,ROWS($A$7:A107)),タスク!$AB$5:$AB$300,0))),"")</f>
        <v/>
      </c>
      <c r="H107" s="53" t="str">
        <f>IFERROR(IF(SMALL(タスク!$AB$5:$AB$300,ROWS($A$7:A107))&gt;=1000000000000,"",INDEX(タスク!H$5:H$300,MATCH(SMALL(タスク!$AB$5:$AB$300,ROWS($A$7:A107)),タスク!$AB$5:$AB$300,0))),"")</f>
        <v/>
      </c>
      <c r="I107" s="53" t="str">
        <f>IFERROR(IF(SMALL(タスク!$AB$5:$AB$300,ROWS($A$7:A107))&gt;=1000000000000,"",INDEX(タスク!I$5:I$300,MATCH(SMALL(タスク!$AB$5:$AB$300,ROWS($A$7:A107)),タスク!$AB$5:$AB$300,0))),"")</f>
        <v/>
      </c>
      <c r="J107" s="53" t="str">
        <f>IFERROR(IF(SMALL(タスク!$AB$5:$AB$300,ROWS($A$7:A107))&gt;=1000000000000,"",INDEX(タスク!J$5:J$300,MATCH(SMALL(タスク!$AB$5:$AB$300,ROWS($A$7:A107)),タスク!$AB$5:$AB$300,0))),"")</f>
        <v/>
      </c>
    </row>
    <row r="108" spans="1:10">
      <c r="A108" s="53" t="str">
        <f>IFERROR(IF(SMALL(タスク!$AB$5:$AB$300,ROWS($A$7:A108))&gt;=1000000000000,"",INDEX(タスク!A$5:A$300,MATCH(SMALL(タスク!$AB$5:$AB$300,ROWS($A$7:A108)),タスク!$AB$5:$AB$300,0))),"")</f>
        <v/>
      </c>
      <c r="B108" s="53" t="str">
        <f>IFERROR(IF(SMALL(タスク!$AB$5:$AB$300,ROWS($A$7:A108))&gt;=1000000000000,"",INDEX(タスク!B$5:B$300,MATCH(SMALL(タスク!$AB$5:$AB$300,ROWS($A$7:A108)),タスク!$AB$5:$AB$300,0))),"")</f>
        <v/>
      </c>
      <c r="C108" s="53" t="str">
        <f>IFERROR(IF(SMALL(タスク!$AB$5:$AB$300,ROWS($A$7:A108))&gt;=1000000000000,"",INDEX(タスク!C$5:C$300,MATCH(SMALL(タスク!$AB$5:$AB$300,ROWS($A$7:A108)),タスク!$AB$5:$AB$300,0))),"")</f>
        <v/>
      </c>
      <c r="D108" s="53" t="str">
        <f>IFERROR(IF(SMALL(タスク!$AB$5:$AB$300,ROWS($A$7:A108))&gt;=1000000000000,"",INDEX(タスク!D$5:D$300,MATCH(SMALL(タスク!$AB$5:$AB$300,ROWS($A$7:A108)),タスク!$AB$5:$AB$300,0))),"")</f>
        <v/>
      </c>
      <c r="E108" s="53" t="str">
        <f>IFERROR(IF(SMALL(タスク!$AB$5:$AB$300,ROWS($A$7:A108))&gt;=1000000000000,"",INDEX(タスク!E$5:E$300,MATCH(SMALL(タスク!$AB$5:$AB$300,ROWS($A$7:A108)),タスク!$AB$5:$AB$300,0))),"")</f>
        <v/>
      </c>
      <c r="F108" s="53" t="str">
        <f>IFERROR(IF(SMALL(タスク!$AB$5:$AB$300,ROWS($A$7:A108))&gt;=1000000000000,"",INDEX(タスク!F$5:F$300,MATCH(SMALL(タスク!$AB$5:$AB$300,ROWS($A$7:A108)),タスク!$AB$5:$AB$300,0))),"")</f>
        <v/>
      </c>
      <c r="G108" s="53" t="str">
        <f>IFERROR(IF(SMALL(タスク!$AB$5:$AB$300,ROWS($A$7:A108))&gt;=1000000000000,"",INDEX(タスク!G$5:G$300,MATCH(SMALL(タスク!$AB$5:$AB$300,ROWS($A$7:A108)),タスク!$AB$5:$AB$300,0))),"")</f>
        <v/>
      </c>
      <c r="H108" s="53" t="str">
        <f>IFERROR(IF(SMALL(タスク!$AB$5:$AB$300,ROWS($A$7:A108))&gt;=1000000000000,"",INDEX(タスク!H$5:H$300,MATCH(SMALL(タスク!$AB$5:$AB$300,ROWS($A$7:A108)),タスク!$AB$5:$AB$300,0))),"")</f>
        <v/>
      </c>
      <c r="I108" s="53" t="str">
        <f>IFERROR(IF(SMALL(タスク!$AB$5:$AB$300,ROWS($A$7:A108))&gt;=1000000000000,"",INDEX(タスク!I$5:I$300,MATCH(SMALL(タスク!$AB$5:$AB$300,ROWS($A$7:A108)),タスク!$AB$5:$AB$300,0))),"")</f>
        <v/>
      </c>
      <c r="J108" s="53" t="str">
        <f>IFERROR(IF(SMALL(タスク!$AB$5:$AB$300,ROWS($A$7:A108))&gt;=1000000000000,"",INDEX(タスク!J$5:J$300,MATCH(SMALL(タスク!$AB$5:$AB$300,ROWS($A$7:A108)),タスク!$AB$5:$AB$300,0))),"")</f>
        <v/>
      </c>
    </row>
    <row r="109" spans="1:10">
      <c r="A109" s="53" t="str">
        <f>IFERROR(IF(SMALL(タスク!$AB$5:$AB$300,ROWS($A$7:A109))&gt;=1000000000000,"",INDEX(タスク!A$5:A$300,MATCH(SMALL(タスク!$AB$5:$AB$300,ROWS($A$7:A109)),タスク!$AB$5:$AB$300,0))),"")</f>
        <v/>
      </c>
      <c r="B109" s="53" t="str">
        <f>IFERROR(IF(SMALL(タスク!$AB$5:$AB$300,ROWS($A$7:A109))&gt;=1000000000000,"",INDEX(タスク!B$5:B$300,MATCH(SMALL(タスク!$AB$5:$AB$300,ROWS($A$7:A109)),タスク!$AB$5:$AB$300,0))),"")</f>
        <v/>
      </c>
      <c r="C109" s="53" t="str">
        <f>IFERROR(IF(SMALL(タスク!$AB$5:$AB$300,ROWS($A$7:A109))&gt;=1000000000000,"",INDEX(タスク!C$5:C$300,MATCH(SMALL(タスク!$AB$5:$AB$300,ROWS($A$7:A109)),タスク!$AB$5:$AB$300,0))),"")</f>
        <v/>
      </c>
      <c r="D109" s="53" t="str">
        <f>IFERROR(IF(SMALL(タスク!$AB$5:$AB$300,ROWS($A$7:A109))&gt;=1000000000000,"",INDEX(タスク!D$5:D$300,MATCH(SMALL(タスク!$AB$5:$AB$300,ROWS($A$7:A109)),タスク!$AB$5:$AB$300,0))),"")</f>
        <v/>
      </c>
      <c r="E109" s="53" t="str">
        <f>IFERROR(IF(SMALL(タスク!$AB$5:$AB$300,ROWS($A$7:A109))&gt;=1000000000000,"",INDEX(タスク!E$5:E$300,MATCH(SMALL(タスク!$AB$5:$AB$300,ROWS($A$7:A109)),タスク!$AB$5:$AB$300,0))),"")</f>
        <v/>
      </c>
      <c r="F109" s="53" t="str">
        <f>IFERROR(IF(SMALL(タスク!$AB$5:$AB$300,ROWS($A$7:A109))&gt;=1000000000000,"",INDEX(タスク!F$5:F$300,MATCH(SMALL(タスク!$AB$5:$AB$300,ROWS($A$7:A109)),タスク!$AB$5:$AB$300,0))),"")</f>
        <v/>
      </c>
      <c r="G109" s="53" t="str">
        <f>IFERROR(IF(SMALL(タスク!$AB$5:$AB$300,ROWS($A$7:A109))&gt;=1000000000000,"",INDEX(タスク!G$5:G$300,MATCH(SMALL(タスク!$AB$5:$AB$300,ROWS($A$7:A109)),タスク!$AB$5:$AB$300,0))),"")</f>
        <v/>
      </c>
      <c r="H109" s="53" t="str">
        <f>IFERROR(IF(SMALL(タスク!$AB$5:$AB$300,ROWS($A$7:A109))&gt;=1000000000000,"",INDEX(タスク!H$5:H$300,MATCH(SMALL(タスク!$AB$5:$AB$300,ROWS($A$7:A109)),タスク!$AB$5:$AB$300,0))),"")</f>
        <v/>
      </c>
      <c r="I109" s="53" t="str">
        <f>IFERROR(IF(SMALL(タスク!$AB$5:$AB$300,ROWS($A$7:A109))&gt;=1000000000000,"",INDEX(タスク!I$5:I$300,MATCH(SMALL(タスク!$AB$5:$AB$300,ROWS($A$7:A109)),タスク!$AB$5:$AB$300,0))),"")</f>
        <v/>
      </c>
      <c r="J109" s="53" t="str">
        <f>IFERROR(IF(SMALL(タスク!$AB$5:$AB$300,ROWS($A$7:A109))&gt;=1000000000000,"",INDEX(タスク!J$5:J$300,MATCH(SMALL(タスク!$AB$5:$AB$300,ROWS($A$7:A109)),タスク!$AB$5:$AB$300,0))),"")</f>
        <v/>
      </c>
    </row>
    <row r="110" spans="1:10">
      <c r="A110" s="53" t="str">
        <f>IFERROR(IF(SMALL(タスク!$AB$5:$AB$300,ROWS($A$7:A110))&gt;=1000000000000,"",INDEX(タスク!A$5:A$300,MATCH(SMALL(タスク!$AB$5:$AB$300,ROWS($A$7:A110)),タスク!$AB$5:$AB$300,0))),"")</f>
        <v/>
      </c>
      <c r="B110" s="53" t="str">
        <f>IFERROR(IF(SMALL(タスク!$AB$5:$AB$300,ROWS($A$7:A110))&gt;=1000000000000,"",INDEX(タスク!B$5:B$300,MATCH(SMALL(タスク!$AB$5:$AB$300,ROWS($A$7:A110)),タスク!$AB$5:$AB$300,0))),"")</f>
        <v/>
      </c>
      <c r="C110" s="53" t="str">
        <f>IFERROR(IF(SMALL(タスク!$AB$5:$AB$300,ROWS($A$7:A110))&gt;=1000000000000,"",INDEX(タスク!C$5:C$300,MATCH(SMALL(タスク!$AB$5:$AB$300,ROWS($A$7:A110)),タスク!$AB$5:$AB$300,0))),"")</f>
        <v/>
      </c>
      <c r="D110" s="53" t="str">
        <f>IFERROR(IF(SMALL(タスク!$AB$5:$AB$300,ROWS($A$7:A110))&gt;=1000000000000,"",INDEX(タスク!D$5:D$300,MATCH(SMALL(タスク!$AB$5:$AB$300,ROWS($A$7:A110)),タスク!$AB$5:$AB$300,0))),"")</f>
        <v/>
      </c>
      <c r="E110" s="53" t="str">
        <f>IFERROR(IF(SMALL(タスク!$AB$5:$AB$300,ROWS($A$7:A110))&gt;=1000000000000,"",INDEX(タスク!E$5:E$300,MATCH(SMALL(タスク!$AB$5:$AB$300,ROWS($A$7:A110)),タスク!$AB$5:$AB$300,0))),"")</f>
        <v/>
      </c>
      <c r="F110" s="53" t="str">
        <f>IFERROR(IF(SMALL(タスク!$AB$5:$AB$300,ROWS($A$7:A110))&gt;=1000000000000,"",INDEX(タスク!F$5:F$300,MATCH(SMALL(タスク!$AB$5:$AB$300,ROWS($A$7:A110)),タスク!$AB$5:$AB$300,0))),"")</f>
        <v/>
      </c>
      <c r="G110" s="53" t="str">
        <f>IFERROR(IF(SMALL(タスク!$AB$5:$AB$300,ROWS($A$7:A110))&gt;=1000000000000,"",INDEX(タスク!G$5:G$300,MATCH(SMALL(タスク!$AB$5:$AB$300,ROWS($A$7:A110)),タスク!$AB$5:$AB$300,0))),"")</f>
        <v/>
      </c>
      <c r="H110" s="53" t="str">
        <f>IFERROR(IF(SMALL(タスク!$AB$5:$AB$300,ROWS($A$7:A110))&gt;=1000000000000,"",INDEX(タスク!H$5:H$300,MATCH(SMALL(タスク!$AB$5:$AB$300,ROWS($A$7:A110)),タスク!$AB$5:$AB$300,0))),"")</f>
        <v/>
      </c>
      <c r="I110" s="53" t="str">
        <f>IFERROR(IF(SMALL(タスク!$AB$5:$AB$300,ROWS($A$7:A110))&gt;=1000000000000,"",INDEX(タスク!I$5:I$300,MATCH(SMALL(タスク!$AB$5:$AB$300,ROWS($A$7:A110)),タスク!$AB$5:$AB$300,0))),"")</f>
        <v/>
      </c>
      <c r="J110" s="53" t="str">
        <f>IFERROR(IF(SMALL(タスク!$AB$5:$AB$300,ROWS($A$7:A110))&gt;=1000000000000,"",INDEX(タスク!J$5:J$300,MATCH(SMALL(タスク!$AB$5:$AB$300,ROWS($A$7:A110)),タスク!$AB$5:$AB$300,0))),"")</f>
        <v/>
      </c>
    </row>
    <row r="111" spans="1:10">
      <c r="A111" s="53" t="str">
        <f>IFERROR(IF(SMALL(タスク!$AB$5:$AB$300,ROWS($A$7:A111))&gt;=1000000000000,"",INDEX(タスク!A$5:A$300,MATCH(SMALL(タスク!$AB$5:$AB$300,ROWS($A$7:A111)),タスク!$AB$5:$AB$300,0))),"")</f>
        <v/>
      </c>
      <c r="B111" s="53" t="str">
        <f>IFERROR(IF(SMALL(タスク!$AB$5:$AB$300,ROWS($A$7:A111))&gt;=1000000000000,"",INDEX(タスク!B$5:B$300,MATCH(SMALL(タスク!$AB$5:$AB$300,ROWS($A$7:A111)),タスク!$AB$5:$AB$300,0))),"")</f>
        <v/>
      </c>
      <c r="C111" s="53" t="str">
        <f>IFERROR(IF(SMALL(タスク!$AB$5:$AB$300,ROWS($A$7:A111))&gt;=1000000000000,"",INDEX(タスク!C$5:C$300,MATCH(SMALL(タスク!$AB$5:$AB$300,ROWS($A$7:A111)),タスク!$AB$5:$AB$300,0))),"")</f>
        <v/>
      </c>
      <c r="D111" s="53" t="str">
        <f>IFERROR(IF(SMALL(タスク!$AB$5:$AB$300,ROWS($A$7:A111))&gt;=1000000000000,"",INDEX(タスク!D$5:D$300,MATCH(SMALL(タスク!$AB$5:$AB$300,ROWS($A$7:A111)),タスク!$AB$5:$AB$300,0))),"")</f>
        <v/>
      </c>
      <c r="E111" s="53" t="str">
        <f>IFERROR(IF(SMALL(タスク!$AB$5:$AB$300,ROWS($A$7:A111))&gt;=1000000000000,"",INDEX(タスク!E$5:E$300,MATCH(SMALL(タスク!$AB$5:$AB$300,ROWS($A$7:A111)),タスク!$AB$5:$AB$300,0))),"")</f>
        <v/>
      </c>
      <c r="F111" s="53" t="str">
        <f>IFERROR(IF(SMALL(タスク!$AB$5:$AB$300,ROWS($A$7:A111))&gt;=1000000000000,"",INDEX(タスク!F$5:F$300,MATCH(SMALL(タスク!$AB$5:$AB$300,ROWS($A$7:A111)),タスク!$AB$5:$AB$300,0))),"")</f>
        <v/>
      </c>
      <c r="G111" s="53" t="str">
        <f>IFERROR(IF(SMALL(タスク!$AB$5:$AB$300,ROWS($A$7:A111))&gt;=1000000000000,"",INDEX(タスク!G$5:G$300,MATCH(SMALL(タスク!$AB$5:$AB$300,ROWS($A$7:A111)),タスク!$AB$5:$AB$300,0))),"")</f>
        <v/>
      </c>
      <c r="H111" s="53" t="str">
        <f>IFERROR(IF(SMALL(タスク!$AB$5:$AB$300,ROWS($A$7:A111))&gt;=1000000000000,"",INDEX(タスク!H$5:H$300,MATCH(SMALL(タスク!$AB$5:$AB$300,ROWS($A$7:A111)),タスク!$AB$5:$AB$300,0))),"")</f>
        <v/>
      </c>
      <c r="I111" s="53" t="str">
        <f>IFERROR(IF(SMALL(タスク!$AB$5:$AB$300,ROWS($A$7:A111))&gt;=1000000000000,"",INDEX(タスク!I$5:I$300,MATCH(SMALL(タスク!$AB$5:$AB$300,ROWS($A$7:A111)),タスク!$AB$5:$AB$300,0))),"")</f>
        <v/>
      </c>
      <c r="J111" s="53" t="str">
        <f>IFERROR(IF(SMALL(タスク!$AB$5:$AB$300,ROWS($A$7:A111))&gt;=1000000000000,"",INDEX(タスク!J$5:J$300,MATCH(SMALL(タスク!$AB$5:$AB$300,ROWS($A$7:A111)),タスク!$AB$5:$AB$300,0))),"")</f>
        <v/>
      </c>
    </row>
    <row r="112" spans="1:10">
      <c r="A112" s="53" t="str">
        <f>IFERROR(IF(SMALL(タスク!$AB$5:$AB$300,ROWS($A$7:A112))&gt;=1000000000000,"",INDEX(タスク!A$5:A$300,MATCH(SMALL(タスク!$AB$5:$AB$300,ROWS($A$7:A112)),タスク!$AB$5:$AB$300,0))),"")</f>
        <v/>
      </c>
      <c r="B112" s="53" t="str">
        <f>IFERROR(IF(SMALL(タスク!$AB$5:$AB$300,ROWS($A$7:A112))&gt;=1000000000000,"",INDEX(タスク!B$5:B$300,MATCH(SMALL(タスク!$AB$5:$AB$300,ROWS($A$7:A112)),タスク!$AB$5:$AB$300,0))),"")</f>
        <v/>
      </c>
      <c r="C112" s="53" t="str">
        <f>IFERROR(IF(SMALL(タスク!$AB$5:$AB$300,ROWS($A$7:A112))&gt;=1000000000000,"",INDEX(タスク!C$5:C$300,MATCH(SMALL(タスク!$AB$5:$AB$300,ROWS($A$7:A112)),タスク!$AB$5:$AB$300,0))),"")</f>
        <v/>
      </c>
      <c r="D112" s="53" t="str">
        <f>IFERROR(IF(SMALL(タスク!$AB$5:$AB$300,ROWS($A$7:A112))&gt;=1000000000000,"",INDEX(タスク!D$5:D$300,MATCH(SMALL(タスク!$AB$5:$AB$300,ROWS($A$7:A112)),タスク!$AB$5:$AB$300,0))),"")</f>
        <v/>
      </c>
      <c r="E112" s="53" t="str">
        <f>IFERROR(IF(SMALL(タスク!$AB$5:$AB$300,ROWS($A$7:A112))&gt;=1000000000000,"",INDEX(タスク!E$5:E$300,MATCH(SMALL(タスク!$AB$5:$AB$300,ROWS($A$7:A112)),タスク!$AB$5:$AB$300,0))),"")</f>
        <v/>
      </c>
      <c r="F112" s="53" t="str">
        <f>IFERROR(IF(SMALL(タスク!$AB$5:$AB$300,ROWS($A$7:A112))&gt;=1000000000000,"",INDEX(タスク!F$5:F$300,MATCH(SMALL(タスク!$AB$5:$AB$300,ROWS($A$7:A112)),タスク!$AB$5:$AB$300,0))),"")</f>
        <v/>
      </c>
      <c r="G112" s="53" t="str">
        <f>IFERROR(IF(SMALL(タスク!$AB$5:$AB$300,ROWS($A$7:A112))&gt;=1000000000000,"",INDEX(タスク!G$5:G$300,MATCH(SMALL(タスク!$AB$5:$AB$300,ROWS($A$7:A112)),タスク!$AB$5:$AB$300,0))),"")</f>
        <v/>
      </c>
      <c r="H112" s="53" t="str">
        <f>IFERROR(IF(SMALL(タスク!$AB$5:$AB$300,ROWS($A$7:A112))&gt;=1000000000000,"",INDEX(タスク!H$5:H$300,MATCH(SMALL(タスク!$AB$5:$AB$300,ROWS($A$7:A112)),タスク!$AB$5:$AB$300,0))),"")</f>
        <v/>
      </c>
      <c r="I112" s="53" t="str">
        <f>IFERROR(IF(SMALL(タスク!$AB$5:$AB$300,ROWS($A$7:A112))&gt;=1000000000000,"",INDEX(タスク!I$5:I$300,MATCH(SMALL(タスク!$AB$5:$AB$300,ROWS($A$7:A112)),タスク!$AB$5:$AB$300,0))),"")</f>
        <v/>
      </c>
      <c r="J112" s="53" t="str">
        <f>IFERROR(IF(SMALL(タスク!$AB$5:$AB$300,ROWS($A$7:A112))&gt;=1000000000000,"",INDEX(タスク!J$5:J$300,MATCH(SMALL(タスク!$AB$5:$AB$300,ROWS($A$7:A112)),タスク!$AB$5:$AB$300,0))),"")</f>
        <v/>
      </c>
    </row>
    <row r="113" spans="1:10">
      <c r="A113" s="53" t="str">
        <f>IFERROR(IF(SMALL(タスク!$AB$5:$AB$300,ROWS($A$7:A113))&gt;=1000000000000,"",INDEX(タスク!A$5:A$300,MATCH(SMALL(タスク!$AB$5:$AB$300,ROWS($A$7:A113)),タスク!$AB$5:$AB$300,0))),"")</f>
        <v/>
      </c>
      <c r="B113" s="53" t="str">
        <f>IFERROR(IF(SMALL(タスク!$AB$5:$AB$300,ROWS($A$7:A113))&gt;=1000000000000,"",INDEX(タスク!B$5:B$300,MATCH(SMALL(タスク!$AB$5:$AB$300,ROWS($A$7:A113)),タスク!$AB$5:$AB$300,0))),"")</f>
        <v/>
      </c>
      <c r="C113" s="53" t="str">
        <f>IFERROR(IF(SMALL(タスク!$AB$5:$AB$300,ROWS($A$7:A113))&gt;=1000000000000,"",INDEX(タスク!C$5:C$300,MATCH(SMALL(タスク!$AB$5:$AB$300,ROWS($A$7:A113)),タスク!$AB$5:$AB$300,0))),"")</f>
        <v/>
      </c>
      <c r="D113" s="53" t="str">
        <f>IFERROR(IF(SMALL(タスク!$AB$5:$AB$300,ROWS($A$7:A113))&gt;=1000000000000,"",INDEX(タスク!D$5:D$300,MATCH(SMALL(タスク!$AB$5:$AB$300,ROWS($A$7:A113)),タスク!$AB$5:$AB$300,0))),"")</f>
        <v/>
      </c>
      <c r="E113" s="53" t="str">
        <f>IFERROR(IF(SMALL(タスク!$AB$5:$AB$300,ROWS($A$7:A113))&gt;=1000000000000,"",INDEX(タスク!E$5:E$300,MATCH(SMALL(タスク!$AB$5:$AB$300,ROWS($A$7:A113)),タスク!$AB$5:$AB$300,0))),"")</f>
        <v/>
      </c>
      <c r="F113" s="53" t="str">
        <f>IFERROR(IF(SMALL(タスク!$AB$5:$AB$300,ROWS($A$7:A113))&gt;=1000000000000,"",INDEX(タスク!F$5:F$300,MATCH(SMALL(タスク!$AB$5:$AB$300,ROWS($A$7:A113)),タスク!$AB$5:$AB$300,0))),"")</f>
        <v/>
      </c>
      <c r="G113" s="53" t="str">
        <f>IFERROR(IF(SMALL(タスク!$AB$5:$AB$300,ROWS($A$7:A113))&gt;=1000000000000,"",INDEX(タスク!G$5:G$300,MATCH(SMALL(タスク!$AB$5:$AB$300,ROWS($A$7:A113)),タスク!$AB$5:$AB$300,0))),"")</f>
        <v/>
      </c>
      <c r="H113" s="53" t="str">
        <f>IFERROR(IF(SMALL(タスク!$AB$5:$AB$300,ROWS($A$7:A113))&gt;=1000000000000,"",INDEX(タスク!H$5:H$300,MATCH(SMALL(タスク!$AB$5:$AB$300,ROWS($A$7:A113)),タスク!$AB$5:$AB$300,0))),"")</f>
        <v/>
      </c>
      <c r="I113" s="53" t="str">
        <f>IFERROR(IF(SMALL(タスク!$AB$5:$AB$300,ROWS($A$7:A113))&gt;=1000000000000,"",INDEX(タスク!I$5:I$300,MATCH(SMALL(タスク!$AB$5:$AB$300,ROWS($A$7:A113)),タスク!$AB$5:$AB$300,0))),"")</f>
        <v/>
      </c>
      <c r="J113" s="53" t="str">
        <f>IFERROR(IF(SMALL(タスク!$AB$5:$AB$300,ROWS($A$7:A113))&gt;=1000000000000,"",INDEX(タスク!J$5:J$300,MATCH(SMALL(タスク!$AB$5:$AB$300,ROWS($A$7:A113)),タスク!$AB$5:$AB$300,0))),"")</f>
        <v/>
      </c>
    </row>
    <row r="114" spans="1:10">
      <c r="A114" s="53" t="str">
        <f>IFERROR(IF(SMALL(タスク!$AB$5:$AB$300,ROWS($A$7:A114))&gt;=1000000000000,"",INDEX(タスク!A$5:A$300,MATCH(SMALL(タスク!$AB$5:$AB$300,ROWS($A$7:A114)),タスク!$AB$5:$AB$300,0))),"")</f>
        <v/>
      </c>
      <c r="B114" s="53" t="str">
        <f>IFERROR(IF(SMALL(タスク!$AB$5:$AB$300,ROWS($A$7:A114))&gt;=1000000000000,"",INDEX(タスク!B$5:B$300,MATCH(SMALL(タスク!$AB$5:$AB$300,ROWS($A$7:A114)),タスク!$AB$5:$AB$300,0))),"")</f>
        <v/>
      </c>
      <c r="C114" s="53" t="str">
        <f>IFERROR(IF(SMALL(タスク!$AB$5:$AB$300,ROWS($A$7:A114))&gt;=1000000000000,"",INDEX(タスク!C$5:C$300,MATCH(SMALL(タスク!$AB$5:$AB$300,ROWS($A$7:A114)),タスク!$AB$5:$AB$300,0))),"")</f>
        <v/>
      </c>
      <c r="D114" s="53" t="str">
        <f>IFERROR(IF(SMALL(タスク!$AB$5:$AB$300,ROWS($A$7:A114))&gt;=1000000000000,"",INDEX(タスク!D$5:D$300,MATCH(SMALL(タスク!$AB$5:$AB$300,ROWS($A$7:A114)),タスク!$AB$5:$AB$300,0))),"")</f>
        <v/>
      </c>
      <c r="E114" s="53" t="str">
        <f>IFERROR(IF(SMALL(タスク!$AB$5:$AB$300,ROWS($A$7:A114))&gt;=1000000000000,"",INDEX(タスク!E$5:E$300,MATCH(SMALL(タスク!$AB$5:$AB$300,ROWS($A$7:A114)),タスク!$AB$5:$AB$300,0))),"")</f>
        <v/>
      </c>
      <c r="F114" s="53" t="str">
        <f>IFERROR(IF(SMALL(タスク!$AB$5:$AB$300,ROWS($A$7:A114))&gt;=1000000000000,"",INDEX(タスク!F$5:F$300,MATCH(SMALL(タスク!$AB$5:$AB$300,ROWS($A$7:A114)),タスク!$AB$5:$AB$300,0))),"")</f>
        <v/>
      </c>
      <c r="G114" s="53" t="str">
        <f>IFERROR(IF(SMALL(タスク!$AB$5:$AB$300,ROWS($A$7:A114))&gt;=1000000000000,"",INDEX(タスク!G$5:G$300,MATCH(SMALL(タスク!$AB$5:$AB$300,ROWS($A$7:A114)),タスク!$AB$5:$AB$300,0))),"")</f>
        <v/>
      </c>
      <c r="H114" s="53" t="str">
        <f>IFERROR(IF(SMALL(タスク!$AB$5:$AB$300,ROWS($A$7:A114))&gt;=1000000000000,"",INDEX(タスク!H$5:H$300,MATCH(SMALL(タスク!$AB$5:$AB$300,ROWS($A$7:A114)),タスク!$AB$5:$AB$300,0))),"")</f>
        <v/>
      </c>
      <c r="I114" s="53" t="str">
        <f>IFERROR(IF(SMALL(タスク!$AB$5:$AB$300,ROWS($A$7:A114))&gt;=1000000000000,"",INDEX(タスク!I$5:I$300,MATCH(SMALL(タスク!$AB$5:$AB$300,ROWS($A$7:A114)),タスク!$AB$5:$AB$300,0))),"")</f>
        <v/>
      </c>
      <c r="J114" s="53" t="str">
        <f>IFERROR(IF(SMALL(タスク!$AB$5:$AB$300,ROWS($A$7:A114))&gt;=1000000000000,"",INDEX(タスク!J$5:J$300,MATCH(SMALL(タスク!$AB$5:$AB$300,ROWS($A$7:A114)),タスク!$AB$5:$AB$300,0))),"")</f>
        <v/>
      </c>
    </row>
    <row r="115" spans="1:10">
      <c r="A115" s="53" t="str">
        <f>IFERROR(IF(SMALL(タスク!$AB$5:$AB$300,ROWS($A$7:A115))&gt;=1000000000000,"",INDEX(タスク!A$5:A$300,MATCH(SMALL(タスク!$AB$5:$AB$300,ROWS($A$7:A115)),タスク!$AB$5:$AB$300,0))),"")</f>
        <v/>
      </c>
      <c r="B115" s="53" t="str">
        <f>IFERROR(IF(SMALL(タスク!$AB$5:$AB$300,ROWS($A$7:A115))&gt;=1000000000000,"",INDEX(タスク!B$5:B$300,MATCH(SMALL(タスク!$AB$5:$AB$300,ROWS($A$7:A115)),タスク!$AB$5:$AB$300,0))),"")</f>
        <v/>
      </c>
      <c r="C115" s="53" t="str">
        <f>IFERROR(IF(SMALL(タスク!$AB$5:$AB$300,ROWS($A$7:A115))&gt;=1000000000000,"",INDEX(タスク!C$5:C$300,MATCH(SMALL(タスク!$AB$5:$AB$300,ROWS($A$7:A115)),タスク!$AB$5:$AB$300,0))),"")</f>
        <v/>
      </c>
      <c r="D115" s="53" t="str">
        <f>IFERROR(IF(SMALL(タスク!$AB$5:$AB$300,ROWS($A$7:A115))&gt;=1000000000000,"",INDEX(タスク!D$5:D$300,MATCH(SMALL(タスク!$AB$5:$AB$300,ROWS($A$7:A115)),タスク!$AB$5:$AB$300,0))),"")</f>
        <v/>
      </c>
      <c r="E115" s="53" t="str">
        <f>IFERROR(IF(SMALL(タスク!$AB$5:$AB$300,ROWS($A$7:A115))&gt;=1000000000000,"",INDEX(タスク!E$5:E$300,MATCH(SMALL(タスク!$AB$5:$AB$300,ROWS($A$7:A115)),タスク!$AB$5:$AB$300,0))),"")</f>
        <v/>
      </c>
      <c r="F115" s="53" t="str">
        <f>IFERROR(IF(SMALL(タスク!$AB$5:$AB$300,ROWS($A$7:A115))&gt;=1000000000000,"",INDEX(タスク!F$5:F$300,MATCH(SMALL(タスク!$AB$5:$AB$300,ROWS($A$7:A115)),タスク!$AB$5:$AB$300,0))),"")</f>
        <v/>
      </c>
      <c r="G115" s="53" t="str">
        <f>IFERROR(IF(SMALL(タスク!$AB$5:$AB$300,ROWS($A$7:A115))&gt;=1000000000000,"",INDEX(タスク!G$5:G$300,MATCH(SMALL(タスク!$AB$5:$AB$300,ROWS($A$7:A115)),タスク!$AB$5:$AB$300,0))),"")</f>
        <v/>
      </c>
      <c r="H115" s="53" t="str">
        <f>IFERROR(IF(SMALL(タスク!$AB$5:$AB$300,ROWS($A$7:A115))&gt;=1000000000000,"",INDEX(タスク!H$5:H$300,MATCH(SMALL(タスク!$AB$5:$AB$300,ROWS($A$7:A115)),タスク!$AB$5:$AB$300,0))),"")</f>
        <v/>
      </c>
      <c r="I115" s="53" t="str">
        <f>IFERROR(IF(SMALL(タスク!$AB$5:$AB$300,ROWS($A$7:A115))&gt;=1000000000000,"",INDEX(タスク!I$5:I$300,MATCH(SMALL(タスク!$AB$5:$AB$300,ROWS($A$7:A115)),タスク!$AB$5:$AB$300,0))),"")</f>
        <v/>
      </c>
      <c r="J115" s="53" t="str">
        <f>IFERROR(IF(SMALL(タスク!$AB$5:$AB$300,ROWS($A$7:A115))&gt;=1000000000000,"",INDEX(タスク!J$5:J$300,MATCH(SMALL(タスク!$AB$5:$AB$300,ROWS($A$7:A115)),タスク!$AB$5:$AB$300,0))),"")</f>
        <v/>
      </c>
    </row>
    <row r="116" spans="1:10">
      <c r="A116" s="53" t="str">
        <f>IFERROR(IF(SMALL(タスク!$AB$5:$AB$300,ROWS($A$7:A116))&gt;=1000000000000,"",INDEX(タスク!A$5:A$300,MATCH(SMALL(タスク!$AB$5:$AB$300,ROWS($A$7:A116)),タスク!$AB$5:$AB$300,0))),"")</f>
        <v/>
      </c>
      <c r="B116" s="53" t="str">
        <f>IFERROR(IF(SMALL(タスク!$AB$5:$AB$300,ROWS($A$7:A116))&gt;=1000000000000,"",INDEX(タスク!B$5:B$300,MATCH(SMALL(タスク!$AB$5:$AB$300,ROWS($A$7:A116)),タスク!$AB$5:$AB$300,0))),"")</f>
        <v/>
      </c>
      <c r="C116" s="53" t="str">
        <f>IFERROR(IF(SMALL(タスク!$AB$5:$AB$300,ROWS($A$7:A116))&gt;=1000000000000,"",INDEX(タスク!C$5:C$300,MATCH(SMALL(タスク!$AB$5:$AB$300,ROWS($A$7:A116)),タスク!$AB$5:$AB$300,0))),"")</f>
        <v/>
      </c>
      <c r="D116" s="53" t="str">
        <f>IFERROR(IF(SMALL(タスク!$AB$5:$AB$300,ROWS($A$7:A116))&gt;=1000000000000,"",INDEX(タスク!D$5:D$300,MATCH(SMALL(タスク!$AB$5:$AB$300,ROWS($A$7:A116)),タスク!$AB$5:$AB$300,0))),"")</f>
        <v/>
      </c>
      <c r="E116" s="53" t="str">
        <f>IFERROR(IF(SMALL(タスク!$AB$5:$AB$300,ROWS($A$7:A116))&gt;=1000000000000,"",INDEX(タスク!E$5:E$300,MATCH(SMALL(タスク!$AB$5:$AB$300,ROWS($A$7:A116)),タスク!$AB$5:$AB$300,0))),"")</f>
        <v/>
      </c>
      <c r="F116" s="53" t="str">
        <f>IFERROR(IF(SMALL(タスク!$AB$5:$AB$300,ROWS($A$7:A116))&gt;=1000000000000,"",INDEX(タスク!F$5:F$300,MATCH(SMALL(タスク!$AB$5:$AB$300,ROWS($A$7:A116)),タスク!$AB$5:$AB$300,0))),"")</f>
        <v/>
      </c>
      <c r="G116" s="53" t="str">
        <f>IFERROR(IF(SMALL(タスク!$AB$5:$AB$300,ROWS($A$7:A116))&gt;=1000000000000,"",INDEX(タスク!G$5:G$300,MATCH(SMALL(タスク!$AB$5:$AB$300,ROWS($A$7:A116)),タスク!$AB$5:$AB$300,0))),"")</f>
        <v/>
      </c>
      <c r="H116" s="53" t="str">
        <f>IFERROR(IF(SMALL(タスク!$AB$5:$AB$300,ROWS($A$7:A116))&gt;=1000000000000,"",INDEX(タスク!H$5:H$300,MATCH(SMALL(タスク!$AB$5:$AB$300,ROWS($A$7:A116)),タスク!$AB$5:$AB$300,0))),"")</f>
        <v/>
      </c>
      <c r="I116" s="53" t="str">
        <f>IFERROR(IF(SMALL(タスク!$AB$5:$AB$300,ROWS($A$7:A116))&gt;=1000000000000,"",INDEX(タスク!I$5:I$300,MATCH(SMALL(タスク!$AB$5:$AB$300,ROWS($A$7:A116)),タスク!$AB$5:$AB$300,0))),"")</f>
        <v/>
      </c>
      <c r="J116" s="53" t="str">
        <f>IFERROR(IF(SMALL(タスク!$AB$5:$AB$300,ROWS($A$7:A116))&gt;=1000000000000,"",INDEX(タスク!J$5:J$300,MATCH(SMALL(タスク!$AB$5:$AB$300,ROWS($A$7:A116)),タスク!$AB$5:$AB$300,0))),"")</f>
        <v/>
      </c>
    </row>
    <row r="117" spans="1:10">
      <c r="A117" s="53" t="str">
        <f>IFERROR(IF(SMALL(タスク!$AB$5:$AB$300,ROWS($A$7:A117))&gt;=1000000000000,"",INDEX(タスク!A$5:A$300,MATCH(SMALL(タスク!$AB$5:$AB$300,ROWS($A$7:A117)),タスク!$AB$5:$AB$300,0))),"")</f>
        <v/>
      </c>
      <c r="B117" s="53" t="str">
        <f>IFERROR(IF(SMALL(タスク!$AB$5:$AB$300,ROWS($A$7:A117))&gt;=1000000000000,"",INDEX(タスク!B$5:B$300,MATCH(SMALL(タスク!$AB$5:$AB$300,ROWS($A$7:A117)),タスク!$AB$5:$AB$300,0))),"")</f>
        <v/>
      </c>
      <c r="C117" s="53" t="str">
        <f>IFERROR(IF(SMALL(タスク!$AB$5:$AB$300,ROWS($A$7:A117))&gt;=1000000000000,"",INDEX(タスク!C$5:C$300,MATCH(SMALL(タスク!$AB$5:$AB$300,ROWS($A$7:A117)),タスク!$AB$5:$AB$300,0))),"")</f>
        <v/>
      </c>
      <c r="D117" s="53" t="str">
        <f>IFERROR(IF(SMALL(タスク!$AB$5:$AB$300,ROWS($A$7:A117))&gt;=1000000000000,"",INDEX(タスク!D$5:D$300,MATCH(SMALL(タスク!$AB$5:$AB$300,ROWS($A$7:A117)),タスク!$AB$5:$AB$300,0))),"")</f>
        <v/>
      </c>
      <c r="E117" s="53" t="str">
        <f>IFERROR(IF(SMALL(タスク!$AB$5:$AB$300,ROWS($A$7:A117))&gt;=1000000000000,"",INDEX(タスク!E$5:E$300,MATCH(SMALL(タスク!$AB$5:$AB$300,ROWS($A$7:A117)),タスク!$AB$5:$AB$300,0))),"")</f>
        <v/>
      </c>
      <c r="F117" s="53" t="str">
        <f>IFERROR(IF(SMALL(タスク!$AB$5:$AB$300,ROWS($A$7:A117))&gt;=1000000000000,"",INDEX(タスク!F$5:F$300,MATCH(SMALL(タスク!$AB$5:$AB$300,ROWS($A$7:A117)),タスク!$AB$5:$AB$300,0))),"")</f>
        <v/>
      </c>
      <c r="G117" s="53" t="str">
        <f>IFERROR(IF(SMALL(タスク!$AB$5:$AB$300,ROWS($A$7:A117))&gt;=1000000000000,"",INDEX(タスク!G$5:G$300,MATCH(SMALL(タスク!$AB$5:$AB$300,ROWS($A$7:A117)),タスク!$AB$5:$AB$300,0))),"")</f>
        <v/>
      </c>
      <c r="H117" s="53" t="str">
        <f>IFERROR(IF(SMALL(タスク!$AB$5:$AB$300,ROWS($A$7:A117))&gt;=1000000000000,"",INDEX(タスク!H$5:H$300,MATCH(SMALL(タスク!$AB$5:$AB$300,ROWS($A$7:A117)),タスク!$AB$5:$AB$300,0))),"")</f>
        <v/>
      </c>
      <c r="I117" s="53" t="str">
        <f>IFERROR(IF(SMALL(タスク!$AB$5:$AB$300,ROWS($A$7:A117))&gt;=1000000000000,"",INDEX(タスク!I$5:I$300,MATCH(SMALL(タスク!$AB$5:$AB$300,ROWS($A$7:A117)),タスク!$AB$5:$AB$300,0))),"")</f>
        <v/>
      </c>
      <c r="J117" s="53" t="str">
        <f>IFERROR(IF(SMALL(タスク!$AB$5:$AB$300,ROWS($A$7:A117))&gt;=1000000000000,"",INDEX(タスク!J$5:J$300,MATCH(SMALL(タスク!$AB$5:$AB$300,ROWS($A$7:A117)),タスク!$AB$5:$AB$300,0))),"")</f>
        <v/>
      </c>
    </row>
    <row r="118" spans="1:10">
      <c r="A118" s="53" t="str">
        <f>IFERROR(IF(SMALL(タスク!$AB$5:$AB$300,ROWS($A$7:A118))&gt;=1000000000000,"",INDEX(タスク!A$5:A$300,MATCH(SMALL(タスク!$AB$5:$AB$300,ROWS($A$7:A118)),タスク!$AB$5:$AB$300,0))),"")</f>
        <v/>
      </c>
      <c r="B118" s="53" t="str">
        <f>IFERROR(IF(SMALL(タスク!$AB$5:$AB$300,ROWS($A$7:A118))&gt;=1000000000000,"",INDEX(タスク!B$5:B$300,MATCH(SMALL(タスク!$AB$5:$AB$300,ROWS($A$7:A118)),タスク!$AB$5:$AB$300,0))),"")</f>
        <v/>
      </c>
      <c r="C118" s="53" t="str">
        <f>IFERROR(IF(SMALL(タスク!$AB$5:$AB$300,ROWS($A$7:A118))&gt;=1000000000000,"",INDEX(タスク!C$5:C$300,MATCH(SMALL(タスク!$AB$5:$AB$300,ROWS($A$7:A118)),タスク!$AB$5:$AB$300,0))),"")</f>
        <v/>
      </c>
      <c r="D118" s="53" t="str">
        <f>IFERROR(IF(SMALL(タスク!$AB$5:$AB$300,ROWS($A$7:A118))&gt;=1000000000000,"",INDEX(タスク!D$5:D$300,MATCH(SMALL(タスク!$AB$5:$AB$300,ROWS($A$7:A118)),タスク!$AB$5:$AB$300,0))),"")</f>
        <v/>
      </c>
      <c r="E118" s="53" t="str">
        <f>IFERROR(IF(SMALL(タスク!$AB$5:$AB$300,ROWS($A$7:A118))&gt;=1000000000000,"",INDEX(タスク!E$5:E$300,MATCH(SMALL(タスク!$AB$5:$AB$300,ROWS($A$7:A118)),タスク!$AB$5:$AB$300,0))),"")</f>
        <v/>
      </c>
      <c r="F118" s="53" t="str">
        <f>IFERROR(IF(SMALL(タスク!$AB$5:$AB$300,ROWS($A$7:A118))&gt;=1000000000000,"",INDEX(タスク!F$5:F$300,MATCH(SMALL(タスク!$AB$5:$AB$300,ROWS($A$7:A118)),タスク!$AB$5:$AB$300,0))),"")</f>
        <v/>
      </c>
      <c r="G118" s="53" t="str">
        <f>IFERROR(IF(SMALL(タスク!$AB$5:$AB$300,ROWS($A$7:A118))&gt;=1000000000000,"",INDEX(タスク!G$5:G$300,MATCH(SMALL(タスク!$AB$5:$AB$300,ROWS($A$7:A118)),タスク!$AB$5:$AB$300,0))),"")</f>
        <v/>
      </c>
      <c r="H118" s="53" t="str">
        <f>IFERROR(IF(SMALL(タスク!$AB$5:$AB$300,ROWS($A$7:A118))&gt;=1000000000000,"",INDEX(タスク!H$5:H$300,MATCH(SMALL(タスク!$AB$5:$AB$300,ROWS($A$7:A118)),タスク!$AB$5:$AB$300,0))),"")</f>
        <v/>
      </c>
      <c r="I118" s="53" t="str">
        <f>IFERROR(IF(SMALL(タスク!$AB$5:$AB$300,ROWS($A$7:A118))&gt;=1000000000000,"",INDEX(タスク!I$5:I$300,MATCH(SMALL(タスク!$AB$5:$AB$300,ROWS($A$7:A118)),タスク!$AB$5:$AB$300,0))),"")</f>
        <v/>
      </c>
      <c r="J118" s="53" t="str">
        <f>IFERROR(IF(SMALL(タスク!$AB$5:$AB$300,ROWS($A$7:A118))&gt;=1000000000000,"",INDEX(タスク!J$5:J$300,MATCH(SMALL(タスク!$AB$5:$AB$300,ROWS($A$7:A118)),タスク!$AB$5:$AB$300,0))),"")</f>
        <v/>
      </c>
    </row>
    <row r="119" spans="1:10">
      <c r="A119" s="53" t="str">
        <f>IFERROR(IF(SMALL(タスク!$AB$5:$AB$300,ROWS($A$7:A119))&gt;=1000000000000,"",INDEX(タスク!A$5:A$300,MATCH(SMALL(タスク!$AB$5:$AB$300,ROWS($A$7:A119)),タスク!$AB$5:$AB$300,0))),"")</f>
        <v/>
      </c>
      <c r="B119" s="53" t="str">
        <f>IFERROR(IF(SMALL(タスク!$AB$5:$AB$300,ROWS($A$7:A119))&gt;=1000000000000,"",INDEX(タスク!B$5:B$300,MATCH(SMALL(タスク!$AB$5:$AB$300,ROWS($A$7:A119)),タスク!$AB$5:$AB$300,0))),"")</f>
        <v/>
      </c>
      <c r="C119" s="53" t="str">
        <f>IFERROR(IF(SMALL(タスク!$AB$5:$AB$300,ROWS($A$7:A119))&gt;=1000000000000,"",INDEX(タスク!C$5:C$300,MATCH(SMALL(タスク!$AB$5:$AB$300,ROWS($A$7:A119)),タスク!$AB$5:$AB$300,0))),"")</f>
        <v/>
      </c>
      <c r="D119" s="53" t="str">
        <f>IFERROR(IF(SMALL(タスク!$AB$5:$AB$300,ROWS($A$7:A119))&gt;=1000000000000,"",INDEX(タスク!D$5:D$300,MATCH(SMALL(タスク!$AB$5:$AB$300,ROWS($A$7:A119)),タスク!$AB$5:$AB$300,0))),"")</f>
        <v/>
      </c>
      <c r="E119" s="53" t="str">
        <f>IFERROR(IF(SMALL(タスク!$AB$5:$AB$300,ROWS($A$7:A119))&gt;=1000000000000,"",INDEX(タスク!E$5:E$300,MATCH(SMALL(タスク!$AB$5:$AB$300,ROWS($A$7:A119)),タスク!$AB$5:$AB$300,0))),"")</f>
        <v/>
      </c>
      <c r="F119" s="53" t="str">
        <f>IFERROR(IF(SMALL(タスク!$AB$5:$AB$300,ROWS($A$7:A119))&gt;=1000000000000,"",INDEX(タスク!F$5:F$300,MATCH(SMALL(タスク!$AB$5:$AB$300,ROWS($A$7:A119)),タスク!$AB$5:$AB$300,0))),"")</f>
        <v/>
      </c>
      <c r="G119" s="53" t="str">
        <f>IFERROR(IF(SMALL(タスク!$AB$5:$AB$300,ROWS($A$7:A119))&gt;=1000000000000,"",INDEX(タスク!G$5:G$300,MATCH(SMALL(タスク!$AB$5:$AB$300,ROWS($A$7:A119)),タスク!$AB$5:$AB$300,0))),"")</f>
        <v/>
      </c>
      <c r="H119" s="53" t="str">
        <f>IFERROR(IF(SMALL(タスク!$AB$5:$AB$300,ROWS($A$7:A119))&gt;=1000000000000,"",INDEX(タスク!H$5:H$300,MATCH(SMALL(タスク!$AB$5:$AB$300,ROWS($A$7:A119)),タスク!$AB$5:$AB$300,0))),"")</f>
        <v/>
      </c>
      <c r="I119" s="53" t="str">
        <f>IFERROR(IF(SMALL(タスク!$AB$5:$AB$300,ROWS($A$7:A119))&gt;=1000000000000,"",INDEX(タスク!I$5:I$300,MATCH(SMALL(タスク!$AB$5:$AB$300,ROWS($A$7:A119)),タスク!$AB$5:$AB$300,0))),"")</f>
        <v/>
      </c>
      <c r="J119" s="53" t="str">
        <f>IFERROR(IF(SMALL(タスク!$AB$5:$AB$300,ROWS($A$7:A119))&gt;=1000000000000,"",INDEX(タスク!J$5:J$300,MATCH(SMALL(タスク!$AB$5:$AB$300,ROWS($A$7:A119)),タスク!$AB$5:$AB$300,0))),"")</f>
        <v/>
      </c>
    </row>
    <row r="120" spans="1:10">
      <c r="A120" s="53" t="str">
        <f>IFERROR(IF(SMALL(タスク!$AB$5:$AB$300,ROWS($A$7:A120))&gt;=1000000000000,"",INDEX(タスク!A$5:A$300,MATCH(SMALL(タスク!$AB$5:$AB$300,ROWS($A$7:A120)),タスク!$AB$5:$AB$300,0))),"")</f>
        <v/>
      </c>
      <c r="B120" s="53" t="str">
        <f>IFERROR(IF(SMALL(タスク!$AB$5:$AB$300,ROWS($A$7:A120))&gt;=1000000000000,"",INDEX(タスク!B$5:B$300,MATCH(SMALL(タスク!$AB$5:$AB$300,ROWS($A$7:A120)),タスク!$AB$5:$AB$300,0))),"")</f>
        <v/>
      </c>
      <c r="C120" s="53" t="str">
        <f>IFERROR(IF(SMALL(タスク!$AB$5:$AB$300,ROWS($A$7:A120))&gt;=1000000000000,"",INDEX(タスク!C$5:C$300,MATCH(SMALL(タスク!$AB$5:$AB$300,ROWS($A$7:A120)),タスク!$AB$5:$AB$300,0))),"")</f>
        <v/>
      </c>
      <c r="D120" s="53" t="str">
        <f>IFERROR(IF(SMALL(タスク!$AB$5:$AB$300,ROWS($A$7:A120))&gt;=1000000000000,"",INDEX(タスク!D$5:D$300,MATCH(SMALL(タスク!$AB$5:$AB$300,ROWS($A$7:A120)),タスク!$AB$5:$AB$300,0))),"")</f>
        <v/>
      </c>
      <c r="E120" s="53" t="str">
        <f>IFERROR(IF(SMALL(タスク!$AB$5:$AB$300,ROWS($A$7:A120))&gt;=1000000000000,"",INDEX(タスク!E$5:E$300,MATCH(SMALL(タスク!$AB$5:$AB$300,ROWS($A$7:A120)),タスク!$AB$5:$AB$300,0))),"")</f>
        <v/>
      </c>
      <c r="F120" s="53" t="str">
        <f>IFERROR(IF(SMALL(タスク!$AB$5:$AB$300,ROWS($A$7:A120))&gt;=1000000000000,"",INDEX(タスク!F$5:F$300,MATCH(SMALL(タスク!$AB$5:$AB$300,ROWS($A$7:A120)),タスク!$AB$5:$AB$300,0))),"")</f>
        <v/>
      </c>
      <c r="G120" s="53" t="str">
        <f>IFERROR(IF(SMALL(タスク!$AB$5:$AB$300,ROWS($A$7:A120))&gt;=1000000000000,"",INDEX(タスク!G$5:G$300,MATCH(SMALL(タスク!$AB$5:$AB$300,ROWS($A$7:A120)),タスク!$AB$5:$AB$300,0))),"")</f>
        <v/>
      </c>
      <c r="H120" s="53" t="str">
        <f>IFERROR(IF(SMALL(タスク!$AB$5:$AB$300,ROWS($A$7:A120))&gt;=1000000000000,"",INDEX(タスク!H$5:H$300,MATCH(SMALL(タスク!$AB$5:$AB$300,ROWS($A$7:A120)),タスク!$AB$5:$AB$300,0))),"")</f>
        <v/>
      </c>
      <c r="I120" s="53" t="str">
        <f>IFERROR(IF(SMALL(タスク!$AB$5:$AB$300,ROWS($A$7:A120))&gt;=1000000000000,"",INDEX(タスク!I$5:I$300,MATCH(SMALL(タスク!$AB$5:$AB$300,ROWS($A$7:A120)),タスク!$AB$5:$AB$300,0))),"")</f>
        <v/>
      </c>
      <c r="J120" s="53" t="str">
        <f>IFERROR(IF(SMALL(タスク!$AB$5:$AB$300,ROWS($A$7:A120))&gt;=1000000000000,"",INDEX(タスク!J$5:J$300,MATCH(SMALL(タスク!$AB$5:$AB$300,ROWS($A$7:A120)),タスク!$AB$5:$AB$300,0))),"")</f>
        <v/>
      </c>
    </row>
    <row r="121" spans="1:10">
      <c r="A121" s="53" t="str">
        <f>IFERROR(IF(SMALL(タスク!$AB$5:$AB$300,ROWS($A$7:A121))&gt;=1000000000000,"",INDEX(タスク!A$5:A$300,MATCH(SMALL(タスク!$AB$5:$AB$300,ROWS($A$7:A121)),タスク!$AB$5:$AB$300,0))),"")</f>
        <v/>
      </c>
      <c r="B121" s="53" t="str">
        <f>IFERROR(IF(SMALL(タスク!$AB$5:$AB$300,ROWS($A$7:A121))&gt;=1000000000000,"",INDEX(タスク!B$5:B$300,MATCH(SMALL(タスク!$AB$5:$AB$300,ROWS($A$7:A121)),タスク!$AB$5:$AB$300,0))),"")</f>
        <v/>
      </c>
      <c r="C121" s="53" t="str">
        <f>IFERROR(IF(SMALL(タスク!$AB$5:$AB$300,ROWS($A$7:A121))&gt;=1000000000000,"",INDEX(タスク!C$5:C$300,MATCH(SMALL(タスク!$AB$5:$AB$300,ROWS($A$7:A121)),タスク!$AB$5:$AB$300,0))),"")</f>
        <v/>
      </c>
      <c r="D121" s="53" t="str">
        <f>IFERROR(IF(SMALL(タスク!$AB$5:$AB$300,ROWS($A$7:A121))&gt;=1000000000000,"",INDEX(タスク!D$5:D$300,MATCH(SMALL(タスク!$AB$5:$AB$300,ROWS($A$7:A121)),タスク!$AB$5:$AB$300,0))),"")</f>
        <v/>
      </c>
      <c r="E121" s="53" t="str">
        <f>IFERROR(IF(SMALL(タスク!$AB$5:$AB$300,ROWS($A$7:A121))&gt;=1000000000000,"",INDEX(タスク!E$5:E$300,MATCH(SMALL(タスク!$AB$5:$AB$300,ROWS($A$7:A121)),タスク!$AB$5:$AB$300,0))),"")</f>
        <v/>
      </c>
      <c r="F121" s="53" t="str">
        <f>IFERROR(IF(SMALL(タスク!$AB$5:$AB$300,ROWS($A$7:A121))&gt;=1000000000000,"",INDEX(タスク!F$5:F$300,MATCH(SMALL(タスク!$AB$5:$AB$300,ROWS($A$7:A121)),タスク!$AB$5:$AB$300,0))),"")</f>
        <v/>
      </c>
      <c r="G121" s="53" t="str">
        <f>IFERROR(IF(SMALL(タスク!$AB$5:$AB$300,ROWS($A$7:A121))&gt;=1000000000000,"",INDEX(タスク!G$5:G$300,MATCH(SMALL(タスク!$AB$5:$AB$300,ROWS($A$7:A121)),タスク!$AB$5:$AB$300,0))),"")</f>
        <v/>
      </c>
      <c r="H121" s="53" t="str">
        <f>IFERROR(IF(SMALL(タスク!$AB$5:$AB$300,ROWS($A$7:A121))&gt;=1000000000000,"",INDEX(タスク!H$5:H$300,MATCH(SMALL(タスク!$AB$5:$AB$300,ROWS($A$7:A121)),タスク!$AB$5:$AB$300,0))),"")</f>
        <v/>
      </c>
      <c r="I121" s="53" t="str">
        <f>IFERROR(IF(SMALL(タスク!$AB$5:$AB$300,ROWS($A$7:A121))&gt;=1000000000000,"",INDEX(タスク!I$5:I$300,MATCH(SMALL(タスク!$AB$5:$AB$300,ROWS($A$7:A121)),タスク!$AB$5:$AB$300,0))),"")</f>
        <v/>
      </c>
      <c r="J121" s="53" t="str">
        <f>IFERROR(IF(SMALL(タスク!$AB$5:$AB$300,ROWS($A$7:A121))&gt;=1000000000000,"",INDEX(タスク!J$5:J$300,MATCH(SMALL(タスク!$AB$5:$AB$300,ROWS($A$7:A121)),タスク!$AB$5:$AB$300,0))),"")</f>
        <v/>
      </c>
    </row>
    <row r="122" spans="1:10">
      <c r="A122" s="53" t="str">
        <f>IFERROR(IF(SMALL(タスク!$AB$5:$AB$300,ROWS($A$7:A122))&gt;=1000000000000,"",INDEX(タスク!A$5:A$300,MATCH(SMALL(タスク!$AB$5:$AB$300,ROWS($A$7:A122)),タスク!$AB$5:$AB$300,0))),"")</f>
        <v/>
      </c>
      <c r="B122" s="53" t="str">
        <f>IFERROR(IF(SMALL(タスク!$AB$5:$AB$300,ROWS($A$7:A122))&gt;=1000000000000,"",INDEX(タスク!B$5:B$300,MATCH(SMALL(タスク!$AB$5:$AB$300,ROWS($A$7:A122)),タスク!$AB$5:$AB$300,0))),"")</f>
        <v/>
      </c>
      <c r="C122" s="53" t="str">
        <f>IFERROR(IF(SMALL(タスク!$AB$5:$AB$300,ROWS($A$7:A122))&gt;=1000000000000,"",INDEX(タスク!C$5:C$300,MATCH(SMALL(タスク!$AB$5:$AB$300,ROWS($A$7:A122)),タスク!$AB$5:$AB$300,0))),"")</f>
        <v/>
      </c>
      <c r="D122" s="53" t="str">
        <f>IFERROR(IF(SMALL(タスク!$AB$5:$AB$300,ROWS($A$7:A122))&gt;=1000000000000,"",INDEX(タスク!D$5:D$300,MATCH(SMALL(タスク!$AB$5:$AB$300,ROWS($A$7:A122)),タスク!$AB$5:$AB$300,0))),"")</f>
        <v/>
      </c>
      <c r="E122" s="53" t="str">
        <f>IFERROR(IF(SMALL(タスク!$AB$5:$AB$300,ROWS($A$7:A122))&gt;=1000000000000,"",INDEX(タスク!E$5:E$300,MATCH(SMALL(タスク!$AB$5:$AB$300,ROWS($A$7:A122)),タスク!$AB$5:$AB$300,0))),"")</f>
        <v/>
      </c>
      <c r="F122" s="53" t="str">
        <f>IFERROR(IF(SMALL(タスク!$AB$5:$AB$300,ROWS($A$7:A122))&gt;=1000000000000,"",INDEX(タスク!F$5:F$300,MATCH(SMALL(タスク!$AB$5:$AB$300,ROWS($A$7:A122)),タスク!$AB$5:$AB$300,0))),"")</f>
        <v/>
      </c>
      <c r="G122" s="53" t="str">
        <f>IFERROR(IF(SMALL(タスク!$AB$5:$AB$300,ROWS($A$7:A122))&gt;=1000000000000,"",INDEX(タスク!G$5:G$300,MATCH(SMALL(タスク!$AB$5:$AB$300,ROWS($A$7:A122)),タスク!$AB$5:$AB$300,0))),"")</f>
        <v/>
      </c>
      <c r="H122" s="53" t="str">
        <f>IFERROR(IF(SMALL(タスク!$AB$5:$AB$300,ROWS($A$7:A122))&gt;=1000000000000,"",INDEX(タスク!H$5:H$300,MATCH(SMALL(タスク!$AB$5:$AB$300,ROWS($A$7:A122)),タスク!$AB$5:$AB$300,0))),"")</f>
        <v/>
      </c>
      <c r="I122" s="53" t="str">
        <f>IFERROR(IF(SMALL(タスク!$AB$5:$AB$300,ROWS($A$7:A122))&gt;=1000000000000,"",INDEX(タスク!I$5:I$300,MATCH(SMALL(タスク!$AB$5:$AB$300,ROWS($A$7:A122)),タスク!$AB$5:$AB$300,0))),"")</f>
        <v/>
      </c>
      <c r="J122" s="53" t="str">
        <f>IFERROR(IF(SMALL(タスク!$AB$5:$AB$300,ROWS($A$7:A122))&gt;=1000000000000,"",INDEX(タスク!J$5:J$300,MATCH(SMALL(タスク!$AB$5:$AB$300,ROWS($A$7:A122)),タスク!$AB$5:$AB$300,0))),"")</f>
        <v/>
      </c>
    </row>
    <row r="123" spans="1:10">
      <c r="A123" s="53" t="str">
        <f>IFERROR(IF(SMALL(タスク!$AB$5:$AB$300,ROWS($A$7:A123))&gt;=1000000000000,"",INDEX(タスク!A$5:A$300,MATCH(SMALL(タスク!$AB$5:$AB$300,ROWS($A$7:A123)),タスク!$AB$5:$AB$300,0))),"")</f>
        <v/>
      </c>
      <c r="B123" s="53" t="str">
        <f>IFERROR(IF(SMALL(タスク!$AB$5:$AB$300,ROWS($A$7:A123))&gt;=1000000000000,"",INDEX(タスク!B$5:B$300,MATCH(SMALL(タスク!$AB$5:$AB$300,ROWS($A$7:A123)),タスク!$AB$5:$AB$300,0))),"")</f>
        <v/>
      </c>
      <c r="C123" s="53" t="str">
        <f>IFERROR(IF(SMALL(タスク!$AB$5:$AB$300,ROWS($A$7:A123))&gt;=1000000000000,"",INDEX(タスク!C$5:C$300,MATCH(SMALL(タスク!$AB$5:$AB$300,ROWS($A$7:A123)),タスク!$AB$5:$AB$300,0))),"")</f>
        <v/>
      </c>
      <c r="D123" s="53" t="str">
        <f>IFERROR(IF(SMALL(タスク!$AB$5:$AB$300,ROWS($A$7:A123))&gt;=1000000000000,"",INDEX(タスク!D$5:D$300,MATCH(SMALL(タスク!$AB$5:$AB$300,ROWS($A$7:A123)),タスク!$AB$5:$AB$300,0))),"")</f>
        <v/>
      </c>
      <c r="E123" s="53" t="str">
        <f>IFERROR(IF(SMALL(タスク!$AB$5:$AB$300,ROWS($A$7:A123))&gt;=1000000000000,"",INDEX(タスク!E$5:E$300,MATCH(SMALL(タスク!$AB$5:$AB$300,ROWS($A$7:A123)),タスク!$AB$5:$AB$300,0))),"")</f>
        <v/>
      </c>
      <c r="F123" s="53" t="str">
        <f>IFERROR(IF(SMALL(タスク!$AB$5:$AB$300,ROWS($A$7:A123))&gt;=1000000000000,"",INDEX(タスク!F$5:F$300,MATCH(SMALL(タスク!$AB$5:$AB$300,ROWS($A$7:A123)),タスク!$AB$5:$AB$300,0))),"")</f>
        <v/>
      </c>
      <c r="G123" s="53" t="str">
        <f>IFERROR(IF(SMALL(タスク!$AB$5:$AB$300,ROWS($A$7:A123))&gt;=1000000000000,"",INDEX(タスク!G$5:G$300,MATCH(SMALL(タスク!$AB$5:$AB$300,ROWS($A$7:A123)),タスク!$AB$5:$AB$300,0))),"")</f>
        <v/>
      </c>
      <c r="H123" s="53" t="str">
        <f>IFERROR(IF(SMALL(タスク!$AB$5:$AB$300,ROWS($A$7:A123))&gt;=1000000000000,"",INDEX(タスク!H$5:H$300,MATCH(SMALL(タスク!$AB$5:$AB$300,ROWS($A$7:A123)),タスク!$AB$5:$AB$300,0))),"")</f>
        <v/>
      </c>
      <c r="I123" s="53" t="str">
        <f>IFERROR(IF(SMALL(タスク!$AB$5:$AB$300,ROWS($A$7:A123))&gt;=1000000000000,"",INDEX(タスク!I$5:I$300,MATCH(SMALL(タスク!$AB$5:$AB$300,ROWS($A$7:A123)),タスク!$AB$5:$AB$300,0))),"")</f>
        <v/>
      </c>
      <c r="J123" s="53" t="str">
        <f>IFERROR(IF(SMALL(タスク!$AB$5:$AB$300,ROWS($A$7:A123))&gt;=1000000000000,"",INDEX(タスク!J$5:J$300,MATCH(SMALL(タスク!$AB$5:$AB$300,ROWS($A$7:A123)),タスク!$AB$5:$AB$300,0))),"")</f>
        <v/>
      </c>
    </row>
    <row r="124" spans="1:10">
      <c r="A124" s="53" t="str">
        <f>IFERROR(IF(SMALL(タスク!$AB$5:$AB$300,ROWS($A$7:A124))&gt;=1000000000000,"",INDEX(タスク!A$5:A$300,MATCH(SMALL(タスク!$AB$5:$AB$300,ROWS($A$7:A124)),タスク!$AB$5:$AB$300,0))),"")</f>
        <v/>
      </c>
      <c r="B124" s="53" t="str">
        <f>IFERROR(IF(SMALL(タスク!$AB$5:$AB$300,ROWS($A$7:A124))&gt;=1000000000000,"",INDEX(タスク!B$5:B$300,MATCH(SMALL(タスク!$AB$5:$AB$300,ROWS($A$7:A124)),タスク!$AB$5:$AB$300,0))),"")</f>
        <v/>
      </c>
      <c r="C124" s="53" t="str">
        <f>IFERROR(IF(SMALL(タスク!$AB$5:$AB$300,ROWS($A$7:A124))&gt;=1000000000000,"",INDEX(タスク!C$5:C$300,MATCH(SMALL(タスク!$AB$5:$AB$300,ROWS($A$7:A124)),タスク!$AB$5:$AB$300,0))),"")</f>
        <v/>
      </c>
      <c r="D124" s="53" t="str">
        <f>IFERROR(IF(SMALL(タスク!$AB$5:$AB$300,ROWS($A$7:A124))&gt;=1000000000000,"",INDEX(タスク!D$5:D$300,MATCH(SMALL(タスク!$AB$5:$AB$300,ROWS($A$7:A124)),タスク!$AB$5:$AB$300,0))),"")</f>
        <v/>
      </c>
      <c r="E124" s="53" t="str">
        <f>IFERROR(IF(SMALL(タスク!$AB$5:$AB$300,ROWS($A$7:A124))&gt;=1000000000000,"",INDEX(タスク!E$5:E$300,MATCH(SMALL(タスク!$AB$5:$AB$300,ROWS($A$7:A124)),タスク!$AB$5:$AB$300,0))),"")</f>
        <v/>
      </c>
      <c r="F124" s="53" t="str">
        <f>IFERROR(IF(SMALL(タスク!$AB$5:$AB$300,ROWS($A$7:A124))&gt;=1000000000000,"",INDEX(タスク!F$5:F$300,MATCH(SMALL(タスク!$AB$5:$AB$300,ROWS($A$7:A124)),タスク!$AB$5:$AB$300,0))),"")</f>
        <v/>
      </c>
      <c r="G124" s="53" t="str">
        <f>IFERROR(IF(SMALL(タスク!$AB$5:$AB$300,ROWS($A$7:A124))&gt;=1000000000000,"",INDEX(タスク!G$5:G$300,MATCH(SMALL(タスク!$AB$5:$AB$300,ROWS($A$7:A124)),タスク!$AB$5:$AB$300,0))),"")</f>
        <v/>
      </c>
      <c r="H124" s="53" t="str">
        <f>IFERROR(IF(SMALL(タスク!$AB$5:$AB$300,ROWS($A$7:A124))&gt;=1000000000000,"",INDEX(タスク!H$5:H$300,MATCH(SMALL(タスク!$AB$5:$AB$300,ROWS($A$7:A124)),タスク!$AB$5:$AB$300,0))),"")</f>
        <v/>
      </c>
      <c r="I124" s="53" t="str">
        <f>IFERROR(IF(SMALL(タスク!$AB$5:$AB$300,ROWS($A$7:A124))&gt;=1000000000000,"",INDEX(タスク!I$5:I$300,MATCH(SMALL(タスク!$AB$5:$AB$300,ROWS($A$7:A124)),タスク!$AB$5:$AB$300,0))),"")</f>
        <v/>
      </c>
      <c r="J124" s="53" t="str">
        <f>IFERROR(IF(SMALL(タスク!$AB$5:$AB$300,ROWS($A$7:A124))&gt;=1000000000000,"",INDEX(タスク!J$5:J$300,MATCH(SMALL(タスク!$AB$5:$AB$300,ROWS($A$7:A124)),タスク!$AB$5:$AB$300,0))),"")</f>
        <v/>
      </c>
    </row>
    <row r="125" spans="1:10">
      <c r="A125" s="53" t="str">
        <f>IFERROR(IF(SMALL(タスク!$AB$5:$AB$300,ROWS($A$7:A125))&gt;=1000000000000,"",INDEX(タスク!A$5:A$300,MATCH(SMALL(タスク!$AB$5:$AB$300,ROWS($A$7:A125)),タスク!$AB$5:$AB$300,0))),"")</f>
        <v/>
      </c>
      <c r="B125" s="53" t="str">
        <f>IFERROR(IF(SMALL(タスク!$AB$5:$AB$300,ROWS($A$7:A125))&gt;=1000000000000,"",INDEX(タスク!B$5:B$300,MATCH(SMALL(タスク!$AB$5:$AB$300,ROWS($A$7:A125)),タスク!$AB$5:$AB$300,0))),"")</f>
        <v/>
      </c>
      <c r="C125" s="53" t="str">
        <f>IFERROR(IF(SMALL(タスク!$AB$5:$AB$300,ROWS($A$7:A125))&gt;=1000000000000,"",INDEX(タスク!C$5:C$300,MATCH(SMALL(タスク!$AB$5:$AB$300,ROWS($A$7:A125)),タスク!$AB$5:$AB$300,0))),"")</f>
        <v/>
      </c>
      <c r="D125" s="53" t="str">
        <f>IFERROR(IF(SMALL(タスク!$AB$5:$AB$300,ROWS($A$7:A125))&gt;=1000000000000,"",INDEX(タスク!D$5:D$300,MATCH(SMALL(タスク!$AB$5:$AB$300,ROWS($A$7:A125)),タスク!$AB$5:$AB$300,0))),"")</f>
        <v/>
      </c>
      <c r="E125" s="53" t="str">
        <f>IFERROR(IF(SMALL(タスク!$AB$5:$AB$300,ROWS($A$7:A125))&gt;=1000000000000,"",INDEX(タスク!E$5:E$300,MATCH(SMALL(タスク!$AB$5:$AB$300,ROWS($A$7:A125)),タスク!$AB$5:$AB$300,0))),"")</f>
        <v/>
      </c>
      <c r="F125" s="53" t="str">
        <f>IFERROR(IF(SMALL(タスク!$AB$5:$AB$300,ROWS($A$7:A125))&gt;=1000000000000,"",INDEX(タスク!F$5:F$300,MATCH(SMALL(タスク!$AB$5:$AB$300,ROWS($A$7:A125)),タスク!$AB$5:$AB$300,0))),"")</f>
        <v/>
      </c>
      <c r="G125" s="53" t="str">
        <f>IFERROR(IF(SMALL(タスク!$AB$5:$AB$300,ROWS($A$7:A125))&gt;=1000000000000,"",INDEX(タスク!G$5:G$300,MATCH(SMALL(タスク!$AB$5:$AB$300,ROWS($A$7:A125)),タスク!$AB$5:$AB$300,0))),"")</f>
        <v/>
      </c>
      <c r="H125" s="53" t="str">
        <f>IFERROR(IF(SMALL(タスク!$AB$5:$AB$300,ROWS($A$7:A125))&gt;=1000000000000,"",INDEX(タスク!H$5:H$300,MATCH(SMALL(タスク!$AB$5:$AB$300,ROWS($A$7:A125)),タスク!$AB$5:$AB$300,0))),"")</f>
        <v/>
      </c>
      <c r="I125" s="53" t="str">
        <f>IFERROR(IF(SMALL(タスク!$AB$5:$AB$300,ROWS($A$7:A125))&gt;=1000000000000,"",INDEX(タスク!I$5:I$300,MATCH(SMALL(タスク!$AB$5:$AB$300,ROWS($A$7:A125)),タスク!$AB$5:$AB$300,0))),"")</f>
        <v/>
      </c>
      <c r="J125" s="53" t="str">
        <f>IFERROR(IF(SMALL(タスク!$AB$5:$AB$300,ROWS($A$7:A125))&gt;=1000000000000,"",INDEX(タスク!J$5:J$300,MATCH(SMALL(タスク!$AB$5:$AB$300,ROWS($A$7:A125)),タスク!$AB$5:$AB$300,0))),"")</f>
        <v/>
      </c>
    </row>
    <row r="126" spans="1:10">
      <c r="A126" s="53" t="str">
        <f>IFERROR(IF(SMALL(タスク!$AB$5:$AB$300,ROWS($A$7:A126))&gt;=1000000000000,"",INDEX(タスク!A$5:A$300,MATCH(SMALL(タスク!$AB$5:$AB$300,ROWS($A$7:A126)),タスク!$AB$5:$AB$300,0))),"")</f>
        <v/>
      </c>
      <c r="B126" s="53" t="str">
        <f>IFERROR(IF(SMALL(タスク!$AB$5:$AB$300,ROWS($A$7:A126))&gt;=1000000000000,"",INDEX(タスク!B$5:B$300,MATCH(SMALL(タスク!$AB$5:$AB$300,ROWS($A$7:A126)),タスク!$AB$5:$AB$300,0))),"")</f>
        <v/>
      </c>
      <c r="C126" s="53" t="str">
        <f>IFERROR(IF(SMALL(タスク!$AB$5:$AB$300,ROWS($A$7:A126))&gt;=1000000000000,"",INDEX(タスク!C$5:C$300,MATCH(SMALL(タスク!$AB$5:$AB$300,ROWS($A$7:A126)),タスク!$AB$5:$AB$300,0))),"")</f>
        <v/>
      </c>
      <c r="D126" s="53" t="str">
        <f>IFERROR(IF(SMALL(タスク!$AB$5:$AB$300,ROWS($A$7:A126))&gt;=1000000000000,"",INDEX(タスク!D$5:D$300,MATCH(SMALL(タスク!$AB$5:$AB$300,ROWS($A$7:A126)),タスク!$AB$5:$AB$300,0))),"")</f>
        <v/>
      </c>
      <c r="E126" s="53" t="str">
        <f>IFERROR(IF(SMALL(タスク!$AB$5:$AB$300,ROWS($A$7:A126))&gt;=1000000000000,"",INDEX(タスク!E$5:E$300,MATCH(SMALL(タスク!$AB$5:$AB$300,ROWS($A$7:A126)),タスク!$AB$5:$AB$300,0))),"")</f>
        <v/>
      </c>
      <c r="F126" s="53" t="str">
        <f>IFERROR(IF(SMALL(タスク!$AB$5:$AB$300,ROWS($A$7:A126))&gt;=1000000000000,"",INDEX(タスク!F$5:F$300,MATCH(SMALL(タスク!$AB$5:$AB$300,ROWS($A$7:A126)),タスク!$AB$5:$AB$300,0))),"")</f>
        <v/>
      </c>
      <c r="G126" s="53" t="str">
        <f>IFERROR(IF(SMALL(タスク!$AB$5:$AB$300,ROWS($A$7:A126))&gt;=1000000000000,"",INDEX(タスク!G$5:G$300,MATCH(SMALL(タスク!$AB$5:$AB$300,ROWS($A$7:A126)),タスク!$AB$5:$AB$300,0))),"")</f>
        <v/>
      </c>
      <c r="H126" s="53" t="str">
        <f>IFERROR(IF(SMALL(タスク!$AB$5:$AB$300,ROWS($A$7:A126))&gt;=1000000000000,"",INDEX(タスク!H$5:H$300,MATCH(SMALL(タスク!$AB$5:$AB$300,ROWS($A$7:A126)),タスク!$AB$5:$AB$300,0))),"")</f>
        <v/>
      </c>
      <c r="I126" s="53" t="str">
        <f>IFERROR(IF(SMALL(タスク!$AB$5:$AB$300,ROWS($A$7:A126))&gt;=1000000000000,"",INDEX(タスク!I$5:I$300,MATCH(SMALL(タスク!$AB$5:$AB$300,ROWS($A$7:A126)),タスク!$AB$5:$AB$300,0))),"")</f>
        <v/>
      </c>
      <c r="J126" s="53" t="str">
        <f>IFERROR(IF(SMALL(タスク!$AB$5:$AB$300,ROWS($A$7:A126))&gt;=1000000000000,"",INDEX(タスク!J$5:J$300,MATCH(SMALL(タスク!$AB$5:$AB$300,ROWS($A$7:A126)),タスク!$AB$5:$AB$300,0))),"")</f>
        <v/>
      </c>
    </row>
    <row r="127" spans="1:10">
      <c r="A127" s="53" t="str">
        <f>IFERROR(IF(SMALL(タスク!$AB$5:$AB$300,ROWS($A$7:A127))&gt;=1000000000000,"",INDEX(タスク!A$5:A$300,MATCH(SMALL(タスク!$AB$5:$AB$300,ROWS($A$7:A127)),タスク!$AB$5:$AB$300,0))),"")</f>
        <v/>
      </c>
      <c r="B127" s="53" t="str">
        <f>IFERROR(IF(SMALL(タスク!$AB$5:$AB$300,ROWS($A$7:A127))&gt;=1000000000000,"",INDEX(タスク!B$5:B$300,MATCH(SMALL(タスク!$AB$5:$AB$300,ROWS($A$7:A127)),タスク!$AB$5:$AB$300,0))),"")</f>
        <v/>
      </c>
      <c r="C127" s="53" t="str">
        <f>IFERROR(IF(SMALL(タスク!$AB$5:$AB$300,ROWS($A$7:A127))&gt;=1000000000000,"",INDEX(タスク!C$5:C$300,MATCH(SMALL(タスク!$AB$5:$AB$300,ROWS($A$7:A127)),タスク!$AB$5:$AB$300,0))),"")</f>
        <v/>
      </c>
      <c r="D127" s="53" t="str">
        <f>IFERROR(IF(SMALL(タスク!$AB$5:$AB$300,ROWS($A$7:A127))&gt;=1000000000000,"",INDEX(タスク!D$5:D$300,MATCH(SMALL(タスク!$AB$5:$AB$300,ROWS($A$7:A127)),タスク!$AB$5:$AB$300,0))),"")</f>
        <v/>
      </c>
      <c r="E127" s="53" t="str">
        <f>IFERROR(IF(SMALL(タスク!$AB$5:$AB$300,ROWS($A$7:A127))&gt;=1000000000000,"",INDEX(タスク!E$5:E$300,MATCH(SMALL(タスク!$AB$5:$AB$300,ROWS($A$7:A127)),タスク!$AB$5:$AB$300,0))),"")</f>
        <v/>
      </c>
      <c r="F127" s="53" t="str">
        <f>IFERROR(IF(SMALL(タスク!$AB$5:$AB$300,ROWS($A$7:A127))&gt;=1000000000000,"",INDEX(タスク!F$5:F$300,MATCH(SMALL(タスク!$AB$5:$AB$300,ROWS($A$7:A127)),タスク!$AB$5:$AB$300,0))),"")</f>
        <v/>
      </c>
      <c r="G127" s="53" t="str">
        <f>IFERROR(IF(SMALL(タスク!$AB$5:$AB$300,ROWS($A$7:A127))&gt;=1000000000000,"",INDEX(タスク!G$5:G$300,MATCH(SMALL(タスク!$AB$5:$AB$300,ROWS($A$7:A127)),タスク!$AB$5:$AB$300,0))),"")</f>
        <v/>
      </c>
      <c r="H127" s="53" t="str">
        <f>IFERROR(IF(SMALL(タスク!$AB$5:$AB$300,ROWS($A$7:A127))&gt;=1000000000000,"",INDEX(タスク!H$5:H$300,MATCH(SMALL(タスク!$AB$5:$AB$300,ROWS($A$7:A127)),タスク!$AB$5:$AB$300,0))),"")</f>
        <v/>
      </c>
      <c r="I127" s="53" t="str">
        <f>IFERROR(IF(SMALL(タスク!$AB$5:$AB$300,ROWS($A$7:A127))&gt;=1000000000000,"",INDEX(タスク!I$5:I$300,MATCH(SMALL(タスク!$AB$5:$AB$300,ROWS($A$7:A127)),タスク!$AB$5:$AB$300,0))),"")</f>
        <v/>
      </c>
      <c r="J127" s="53" t="str">
        <f>IFERROR(IF(SMALL(タスク!$AB$5:$AB$300,ROWS($A$7:A127))&gt;=1000000000000,"",INDEX(タスク!J$5:J$300,MATCH(SMALL(タスク!$AB$5:$AB$300,ROWS($A$7:A127)),タスク!$AB$5:$AB$300,0))),"")</f>
        <v/>
      </c>
    </row>
    <row r="128" spans="1:10">
      <c r="A128" s="53" t="str">
        <f>IFERROR(IF(SMALL(タスク!$AB$5:$AB$300,ROWS($A$7:A128))&gt;=1000000000000,"",INDEX(タスク!A$5:A$300,MATCH(SMALL(タスク!$AB$5:$AB$300,ROWS($A$7:A128)),タスク!$AB$5:$AB$300,0))),"")</f>
        <v/>
      </c>
      <c r="B128" s="53" t="str">
        <f>IFERROR(IF(SMALL(タスク!$AB$5:$AB$300,ROWS($A$7:A128))&gt;=1000000000000,"",INDEX(タスク!B$5:B$300,MATCH(SMALL(タスク!$AB$5:$AB$300,ROWS($A$7:A128)),タスク!$AB$5:$AB$300,0))),"")</f>
        <v/>
      </c>
      <c r="C128" s="53" t="str">
        <f>IFERROR(IF(SMALL(タスク!$AB$5:$AB$300,ROWS($A$7:A128))&gt;=1000000000000,"",INDEX(タスク!C$5:C$300,MATCH(SMALL(タスク!$AB$5:$AB$300,ROWS($A$7:A128)),タスク!$AB$5:$AB$300,0))),"")</f>
        <v/>
      </c>
      <c r="D128" s="53" t="str">
        <f>IFERROR(IF(SMALL(タスク!$AB$5:$AB$300,ROWS($A$7:A128))&gt;=1000000000000,"",INDEX(タスク!D$5:D$300,MATCH(SMALL(タスク!$AB$5:$AB$300,ROWS($A$7:A128)),タスク!$AB$5:$AB$300,0))),"")</f>
        <v/>
      </c>
      <c r="E128" s="53" t="str">
        <f>IFERROR(IF(SMALL(タスク!$AB$5:$AB$300,ROWS($A$7:A128))&gt;=1000000000000,"",INDEX(タスク!E$5:E$300,MATCH(SMALL(タスク!$AB$5:$AB$300,ROWS($A$7:A128)),タスク!$AB$5:$AB$300,0))),"")</f>
        <v/>
      </c>
      <c r="F128" s="53" t="str">
        <f>IFERROR(IF(SMALL(タスク!$AB$5:$AB$300,ROWS($A$7:A128))&gt;=1000000000000,"",INDEX(タスク!F$5:F$300,MATCH(SMALL(タスク!$AB$5:$AB$300,ROWS($A$7:A128)),タスク!$AB$5:$AB$300,0))),"")</f>
        <v/>
      </c>
      <c r="G128" s="53" t="str">
        <f>IFERROR(IF(SMALL(タスク!$AB$5:$AB$300,ROWS($A$7:A128))&gt;=1000000000000,"",INDEX(タスク!G$5:G$300,MATCH(SMALL(タスク!$AB$5:$AB$300,ROWS($A$7:A128)),タスク!$AB$5:$AB$300,0))),"")</f>
        <v/>
      </c>
      <c r="H128" s="53" t="str">
        <f>IFERROR(IF(SMALL(タスク!$AB$5:$AB$300,ROWS($A$7:A128))&gt;=1000000000000,"",INDEX(タスク!H$5:H$300,MATCH(SMALL(タスク!$AB$5:$AB$300,ROWS($A$7:A128)),タスク!$AB$5:$AB$300,0))),"")</f>
        <v/>
      </c>
      <c r="I128" s="53" t="str">
        <f>IFERROR(IF(SMALL(タスク!$AB$5:$AB$300,ROWS($A$7:A128))&gt;=1000000000000,"",INDEX(タスク!I$5:I$300,MATCH(SMALL(タスク!$AB$5:$AB$300,ROWS($A$7:A128)),タスク!$AB$5:$AB$300,0))),"")</f>
        <v/>
      </c>
      <c r="J128" s="53" t="str">
        <f>IFERROR(IF(SMALL(タスク!$AB$5:$AB$300,ROWS($A$7:A128))&gt;=1000000000000,"",INDEX(タスク!J$5:J$300,MATCH(SMALL(タスク!$AB$5:$AB$300,ROWS($A$7:A128)),タスク!$AB$5:$AB$300,0))),"")</f>
        <v/>
      </c>
    </row>
    <row r="129" spans="1:10">
      <c r="A129" s="53" t="str">
        <f>IFERROR(IF(SMALL(タスク!$AB$5:$AB$300,ROWS($A$7:A129))&gt;=1000000000000,"",INDEX(タスク!A$5:A$300,MATCH(SMALL(タスク!$AB$5:$AB$300,ROWS($A$7:A129)),タスク!$AB$5:$AB$300,0))),"")</f>
        <v/>
      </c>
      <c r="B129" s="53" t="str">
        <f>IFERROR(IF(SMALL(タスク!$AB$5:$AB$300,ROWS($A$7:A129))&gt;=1000000000000,"",INDEX(タスク!B$5:B$300,MATCH(SMALL(タスク!$AB$5:$AB$300,ROWS($A$7:A129)),タスク!$AB$5:$AB$300,0))),"")</f>
        <v/>
      </c>
      <c r="C129" s="53" t="str">
        <f>IFERROR(IF(SMALL(タスク!$AB$5:$AB$300,ROWS($A$7:A129))&gt;=1000000000000,"",INDEX(タスク!C$5:C$300,MATCH(SMALL(タスク!$AB$5:$AB$300,ROWS($A$7:A129)),タスク!$AB$5:$AB$300,0))),"")</f>
        <v/>
      </c>
      <c r="D129" s="53" t="str">
        <f>IFERROR(IF(SMALL(タスク!$AB$5:$AB$300,ROWS($A$7:A129))&gt;=1000000000000,"",INDEX(タスク!D$5:D$300,MATCH(SMALL(タスク!$AB$5:$AB$300,ROWS($A$7:A129)),タスク!$AB$5:$AB$300,0))),"")</f>
        <v/>
      </c>
      <c r="E129" s="53" t="str">
        <f>IFERROR(IF(SMALL(タスク!$AB$5:$AB$300,ROWS($A$7:A129))&gt;=1000000000000,"",INDEX(タスク!E$5:E$300,MATCH(SMALL(タスク!$AB$5:$AB$300,ROWS($A$7:A129)),タスク!$AB$5:$AB$300,0))),"")</f>
        <v/>
      </c>
      <c r="F129" s="53" t="str">
        <f>IFERROR(IF(SMALL(タスク!$AB$5:$AB$300,ROWS($A$7:A129))&gt;=1000000000000,"",INDEX(タスク!F$5:F$300,MATCH(SMALL(タスク!$AB$5:$AB$300,ROWS($A$7:A129)),タスク!$AB$5:$AB$300,0))),"")</f>
        <v/>
      </c>
      <c r="G129" s="53" t="str">
        <f>IFERROR(IF(SMALL(タスク!$AB$5:$AB$300,ROWS($A$7:A129))&gt;=1000000000000,"",INDEX(タスク!G$5:G$300,MATCH(SMALL(タスク!$AB$5:$AB$300,ROWS($A$7:A129)),タスク!$AB$5:$AB$300,0))),"")</f>
        <v/>
      </c>
      <c r="H129" s="53" t="str">
        <f>IFERROR(IF(SMALL(タスク!$AB$5:$AB$300,ROWS($A$7:A129))&gt;=1000000000000,"",INDEX(タスク!H$5:H$300,MATCH(SMALL(タスク!$AB$5:$AB$300,ROWS($A$7:A129)),タスク!$AB$5:$AB$300,0))),"")</f>
        <v/>
      </c>
      <c r="I129" s="53" t="str">
        <f>IFERROR(IF(SMALL(タスク!$AB$5:$AB$300,ROWS($A$7:A129))&gt;=1000000000000,"",INDEX(タスク!I$5:I$300,MATCH(SMALL(タスク!$AB$5:$AB$300,ROWS($A$7:A129)),タスク!$AB$5:$AB$300,0))),"")</f>
        <v/>
      </c>
      <c r="J129" s="53" t="str">
        <f>IFERROR(IF(SMALL(タスク!$AB$5:$AB$300,ROWS($A$7:A129))&gt;=1000000000000,"",INDEX(タスク!J$5:J$300,MATCH(SMALL(タスク!$AB$5:$AB$300,ROWS($A$7:A129)),タスク!$AB$5:$AB$300,0))),"")</f>
        <v/>
      </c>
    </row>
    <row r="130" spans="1:10">
      <c r="A130" s="53" t="str">
        <f>IFERROR(IF(SMALL(タスク!$AB$5:$AB$300,ROWS($A$7:A130))&gt;=1000000000000,"",INDEX(タスク!A$5:A$300,MATCH(SMALL(タスク!$AB$5:$AB$300,ROWS($A$7:A130)),タスク!$AB$5:$AB$300,0))),"")</f>
        <v/>
      </c>
      <c r="B130" s="53" t="str">
        <f>IFERROR(IF(SMALL(タスク!$AB$5:$AB$300,ROWS($A$7:A130))&gt;=1000000000000,"",INDEX(タスク!B$5:B$300,MATCH(SMALL(タスク!$AB$5:$AB$300,ROWS($A$7:A130)),タスク!$AB$5:$AB$300,0))),"")</f>
        <v/>
      </c>
      <c r="C130" s="53" t="str">
        <f>IFERROR(IF(SMALL(タスク!$AB$5:$AB$300,ROWS($A$7:A130))&gt;=1000000000000,"",INDEX(タスク!C$5:C$300,MATCH(SMALL(タスク!$AB$5:$AB$300,ROWS($A$7:A130)),タスク!$AB$5:$AB$300,0))),"")</f>
        <v/>
      </c>
      <c r="D130" s="53" t="str">
        <f>IFERROR(IF(SMALL(タスク!$AB$5:$AB$300,ROWS($A$7:A130))&gt;=1000000000000,"",INDEX(タスク!D$5:D$300,MATCH(SMALL(タスク!$AB$5:$AB$300,ROWS($A$7:A130)),タスク!$AB$5:$AB$300,0))),"")</f>
        <v/>
      </c>
      <c r="E130" s="53" t="str">
        <f>IFERROR(IF(SMALL(タスク!$AB$5:$AB$300,ROWS($A$7:A130))&gt;=1000000000000,"",INDEX(タスク!E$5:E$300,MATCH(SMALL(タスク!$AB$5:$AB$300,ROWS($A$7:A130)),タスク!$AB$5:$AB$300,0))),"")</f>
        <v/>
      </c>
      <c r="F130" s="53" t="str">
        <f>IFERROR(IF(SMALL(タスク!$AB$5:$AB$300,ROWS($A$7:A130))&gt;=1000000000000,"",INDEX(タスク!F$5:F$300,MATCH(SMALL(タスク!$AB$5:$AB$300,ROWS($A$7:A130)),タスク!$AB$5:$AB$300,0))),"")</f>
        <v/>
      </c>
      <c r="G130" s="53" t="str">
        <f>IFERROR(IF(SMALL(タスク!$AB$5:$AB$300,ROWS($A$7:A130))&gt;=1000000000000,"",INDEX(タスク!G$5:G$300,MATCH(SMALL(タスク!$AB$5:$AB$300,ROWS($A$7:A130)),タスク!$AB$5:$AB$300,0))),"")</f>
        <v/>
      </c>
      <c r="H130" s="53" t="str">
        <f>IFERROR(IF(SMALL(タスク!$AB$5:$AB$300,ROWS($A$7:A130))&gt;=1000000000000,"",INDEX(タスク!H$5:H$300,MATCH(SMALL(タスク!$AB$5:$AB$300,ROWS($A$7:A130)),タスク!$AB$5:$AB$300,0))),"")</f>
        <v/>
      </c>
      <c r="I130" s="53" t="str">
        <f>IFERROR(IF(SMALL(タスク!$AB$5:$AB$300,ROWS($A$7:A130))&gt;=1000000000000,"",INDEX(タスク!I$5:I$300,MATCH(SMALL(タスク!$AB$5:$AB$300,ROWS($A$7:A130)),タスク!$AB$5:$AB$300,0))),"")</f>
        <v/>
      </c>
      <c r="J130" s="53" t="str">
        <f>IFERROR(IF(SMALL(タスク!$AB$5:$AB$300,ROWS($A$7:A130))&gt;=1000000000000,"",INDEX(タスク!J$5:J$300,MATCH(SMALL(タスク!$AB$5:$AB$300,ROWS($A$7:A130)),タスク!$AB$5:$AB$300,0))),"")</f>
        <v/>
      </c>
    </row>
    <row r="131" spans="1:10">
      <c r="A131" s="53" t="str">
        <f>IFERROR(IF(SMALL(タスク!$AB$5:$AB$300,ROWS($A$7:A131))&gt;=1000000000000,"",INDEX(タスク!A$5:A$300,MATCH(SMALL(タスク!$AB$5:$AB$300,ROWS($A$7:A131)),タスク!$AB$5:$AB$300,0))),"")</f>
        <v/>
      </c>
      <c r="B131" s="53" t="str">
        <f>IFERROR(IF(SMALL(タスク!$AB$5:$AB$300,ROWS($A$7:A131))&gt;=1000000000000,"",INDEX(タスク!B$5:B$300,MATCH(SMALL(タスク!$AB$5:$AB$300,ROWS($A$7:A131)),タスク!$AB$5:$AB$300,0))),"")</f>
        <v/>
      </c>
      <c r="C131" s="53" t="str">
        <f>IFERROR(IF(SMALL(タスク!$AB$5:$AB$300,ROWS($A$7:A131))&gt;=1000000000000,"",INDEX(タスク!C$5:C$300,MATCH(SMALL(タスク!$AB$5:$AB$300,ROWS($A$7:A131)),タスク!$AB$5:$AB$300,0))),"")</f>
        <v/>
      </c>
      <c r="D131" s="53" t="str">
        <f>IFERROR(IF(SMALL(タスク!$AB$5:$AB$300,ROWS($A$7:A131))&gt;=1000000000000,"",INDEX(タスク!D$5:D$300,MATCH(SMALL(タスク!$AB$5:$AB$300,ROWS($A$7:A131)),タスク!$AB$5:$AB$300,0))),"")</f>
        <v/>
      </c>
      <c r="E131" s="53" t="str">
        <f>IFERROR(IF(SMALL(タスク!$AB$5:$AB$300,ROWS($A$7:A131))&gt;=1000000000000,"",INDEX(タスク!E$5:E$300,MATCH(SMALL(タスク!$AB$5:$AB$300,ROWS($A$7:A131)),タスク!$AB$5:$AB$300,0))),"")</f>
        <v/>
      </c>
      <c r="F131" s="53" t="str">
        <f>IFERROR(IF(SMALL(タスク!$AB$5:$AB$300,ROWS($A$7:A131))&gt;=1000000000000,"",INDEX(タスク!F$5:F$300,MATCH(SMALL(タスク!$AB$5:$AB$300,ROWS($A$7:A131)),タスク!$AB$5:$AB$300,0))),"")</f>
        <v/>
      </c>
      <c r="G131" s="53" t="str">
        <f>IFERROR(IF(SMALL(タスク!$AB$5:$AB$300,ROWS($A$7:A131))&gt;=1000000000000,"",INDEX(タスク!G$5:G$300,MATCH(SMALL(タスク!$AB$5:$AB$300,ROWS($A$7:A131)),タスク!$AB$5:$AB$300,0))),"")</f>
        <v/>
      </c>
      <c r="H131" s="53" t="str">
        <f>IFERROR(IF(SMALL(タスク!$AB$5:$AB$300,ROWS($A$7:A131))&gt;=1000000000000,"",INDEX(タスク!H$5:H$300,MATCH(SMALL(タスク!$AB$5:$AB$300,ROWS($A$7:A131)),タスク!$AB$5:$AB$300,0))),"")</f>
        <v/>
      </c>
      <c r="I131" s="53" t="str">
        <f>IFERROR(IF(SMALL(タスク!$AB$5:$AB$300,ROWS($A$7:A131))&gt;=1000000000000,"",INDEX(タスク!I$5:I$300,MATCH(SMALL(タスク!$AB$5:$AB$300,ROWS($A$7:A131)),タスク!$AB$5:$AB$300,0))),"")</f>
        <v/>
      </c>
      <c r="J131" s="53" t="str">
        <f>IFERROR(IF(SMALL(タスク!$AB$5:$AB$300,ROWS($A$7:A131))&gt;=1000000000000,"",INDEX(タスク!J$5:J$300,MATCH(SMALL(タスク!$AB$5:$AB$300,ROWS($A$7:A131)),タスク!$AB$5:$AB$300,0))),"")</f>
        <v/>
      </c>
    </row>
    <row r="132" spans="1:10">
      <c r="A132" s="53" t="str">
        <f>IFERROR(IF(SMALL(タスク!$AB$5:$AB$300,ROWS($A$7:A132))&gt;=1000000000000,"",INDEX(タスク!A$5:A$300,MATCH(SMALL(タスク!$AB$5:$AB$300,ROWS($A$7:A132)),タスク!$AB$5:$AB$300,0))),"")</f>
        <v/>
      </c>
      <c r="B132" s="53" t="str">
        <f>IFERROR(IF(SMALL(タスク!$AB$5:$AB$300,ROWS($A$7:A132))&gt;=1000000000000,"",INDEX(タスク!B$5:B$300,MATCH(SMALL(タスク!$AB$5:$AB$300,ROWS($A$7:A132)),タスク!$AB$5:$AB$300,0))),"")</f>
        <v/>
      </c>
      <c r="C132" s="53" t="str">
        <f>IFERROR(IF(SMALL(タスク!$AB$5:$AB$300,ROWS($A$7:A132))&gt;=1000000000000,"",INDEX(タスク!C$5:C$300,MATCH(SMALL(タスク!$AB$5:$AB$300,ROWS($A$7:A132)),タスク!$AB$5:$AB$300,0))),"")</f>
        <v/>
      </c>
      <c r="D132" s="53" t="str">
        <f>IFERROR(IF(SMALL(タスク!$AB$5:$AB$300,ROWS($A$7:A132))&gt;=1000000000000,"",INDEX(タスク!D$5:D$300,MATCH(SMALL(タスク!$AB$5:$AB$300,ROWS($A$7:A132)),タスク!$AB$5:$AB$300,0))),"")</f>
        <v/>
      </c>
      <c r="E132" s="53" t="str">
        <f>IFERROR(IF(SMALL(タスク!$AB$5:$AB$300,ROWS($A$7:A132))&gt;=1000000000000,"",INDEX(タスク!E$5:E$300,MATCH(SMALL(タスク!$AB$5:$AB$300,ROWS($A$7:A132)),タスク!$AB$5:$AB$300,0))),"")</f>
        <v/>
      </c>
      <c r="F132" s="53" t="str">
        <f>IFERROR(IF(SMALL(タスク!$AB$5:$AB$300,ROWS($A$7:A132))&gt;=1000000000000,"",INDEX(タスク!F$5:F$300,MATCH(SMALL(タスク!$AB$5:$AB$300,ROWS($A$7:A132)),タスク!$AB$5:$AB$300,0))),"")</f>
        <v/>
      </c>
      <c r="G132" s="53" t="str">
        <f>IFERROR(IF(SMALL(タスク!$AB$5:$AB$300,ROWS($A$7:A132))&gt;=1000000000000,"",INDEX(タスク!G$5:G$300,MATCH(SMALL(タスク!$AB$5:$AB$300,ROWS($A$7:A132)),タスク!$AB$5:$AB$300,0))),"")</f>
        <v/>
      </c>
      <c r="H132" s="53" t="str">
        <f>IFERROR(IF(SMALL(タスク!$AB$5:$AB$300,ROWS($A$7:A132))&gt;=1000000000000,"",INDEX(タスク!H$5:H$300,MATCH(SMALL(タスク!$AB$5:$AB$300,ROWS($A$7:A132)),タスク!$AB$5:$AB$300,0))),"")</f>
        <v/>
      </c>
      <c r="I132" s="53" t="str">
        <f>IFERROR(IF(SMALL(タスク!$AB$5:$AB$300,ROWS($A$7:A132))&gt;=1000000000000,"",INDEX(タスク!I$5:I$300,MATCH(SMALL(タスク!$AB$5:$AB$300,ROWS($A$7:A132)),タスク!$AB$5:$AB$300,0))),"")</f>
        <v/>
      </c>
      <c r="J132" s="53" t="str">
        <f>IFERROR(IF(SMALL(タスク!$AB$5:$AB$300,ROWS($A$7:A132))&gt;=1000000000000,"",INDEX(タスク!J$5:J$300,MATCH(SMALL(タスク!$AB$5:$AB$300,ROWS($A$7:A132)),タスク!$AB$5:$AB$300,0))),"")</f>
        <v/>
      </c>
    </row>
    <row r="133" spans="1:10">
      <c r="A133" s="53" t="str">
        <f>IFERROR(IF(SMALL(タスク!$AB$5:$AB$300,ROWS($A$7:A133))&gt;=1000000000000,"",INDEX(タスク!A$5:A$300,MATCH(SMALL(タスク!$AB$5:$AB$300,ROWS($A$7:A133)),タスク!$AB$5:$AB$300,0))),"")</f>
        <v/>
      </c>
      <c r="B133" s="53" t="str">
        <f>IFERROR(IF(SMALL(タスク!$AB$5:$AB$300,ROWS($A$7:A133))&gt;=1000000000000,"",INDEX(タスク!B$5:B$300,MATCH(SMALL(タスク!$AB$5:$AB$300,ROWS($A$7:A133)),タスク!$AB$5:$AB$300,0))),"")</f>
        <v/>
      </c>
      <c r="C133" s="53" t="str">
        <f>IFERROR(IF(SMALL(タスク!$AB$5:$AB$300,ROWS($A$7:A133))&gt;=1000000000000,"",INDEX(タスク!C$5:C$300,MATCH(SMALL(タスク!$AB$5:$AB$300,ROWS($A$7:A133)),タスク!$AB$5:$AB$300,0))),"")</f>
        <v/>
      </c>
      <c r="D133" s="53" t="str">
        <f>IFERROR(IF(SMALL(タスク!$AB$5:$AB$300,ROWS($A$7:A133))&gt;=1000000000000,"",INDEX(タスク!D$5:D$300,MATCH(SMALL(タスク!$AB$5:$AB$300,ROWS($A$7:A133)),タスク!$AB$5:$AB$300,0))),"")</f>
        <v/>
      </c>
      <c r="E133" s="53" t="str">
        <f>IFERROR(IF(SMALL(タスク!$AB$5:$AB$300,ROWS($A$7:A133))&gt;=1000000000000,"",INDEX(タスク!E$5:E$300,MATCH(SMALL(タスク!$AB$5:$AB$300,ROWS($A$7:A133)),タスク!$AB$5:$AB$300,0))),"")</f>
        <v/>
      </c>
      <c r="F133" s="53" t="str">
        <f>IFERROR(IF(SMALL(タスク!$AB$5:$AB$300,ROWS($A$7:A133))&gt;=1000000000000,"",INDEX(タスク!F$5:F$300,MATCH(SMALL(タスク!$AB$5:$AB$300,ROWS($A$7:A133)),タスク!$AB$5:$AB$300,0))),"")</f>
        <v/>
      </c>
      <c r="G133" s="53" t="str">
        <f>IFERROR(IF(SMALL(タスク!$AB$5:$AB$300,ROWS($A$7:A133))&gt;=1000000000000,"",INDEX(タスク!G$5:G$300,MATCH(SMALL(タスク!$AB$5:$AB$300,ROWS($A$7:A133)),タスク!$AB$5:$AB$300,0))),"")</f>
        <v/>
      </c>
      <c r="H133" s="53" t="str">
        <f>IFERROR(IF(SMALL(タスク!$AB$5:$AB$300,ROWS($A$7:A133))&gt;=1000000000000,"",INDEX(タスク!H$5:H$300,MATCH(SMALL(タスク!$AB$5:$AB$300,ROWS($A$7:A133)),タスク!$AB$5:$AB$300,0))),"")</f>
        <v/>
      </c>
      <c r="I133" s="53" t="str">
        <f>IFERROR(IF(SMALL(タスク!$AB$5:$AB$300,ROWS($A$7:A133))&gt;=1000000000000,"",INDEX(タスク!I$5:I$300,MATCH(SMALL(タスク!$AB$5:$AB$300,ROWS($A$7:A133)),タスク!$AB$5:$AB$300,0))),"")</f>
        <v/>
      </c>
      <c r="J133" s="53" t="str">
        <f>IFERROR(IF(SMALL(タスク!$AB$5:$AB$300,ROWS($A$7:A133))&gt;=1000000000000,"",INDEX(タスク!J$5:J$300,MATCH(SMALL(タスク!$AB$5:$AB$300,ROWS($A$7:A133)),タスク!$AB$5:$AB$300,0))),"")</f>
        <v/>
      </c>
    </row>
    <row r="134" spans="1:10">
      <c r="A134" s="53" t="str">
        <f>IFERROR(IF(SMALL(タスク!$AB$5:$AB$300,ROWS($A$7:A134))&gt;=1000000000000,"",INDEX(タスク!A$5:A$300,MATCH(SMALL(タスク!$AB$5:$AB$300,ROWS($A$7:A134)),タスク!$AB$5:$AB$300,0))),"")</f>
        <v/>
      </c>
      <c r="B134" s="53" t="str">
        <f>IFERROR(IF(SMALL(タスク!$AB$5:$AB$300,ROWS($A$7:A134))&gt;=1000000000000,"",INDEX(タスク!B$5:B$300,MATCH(SMALL(タスク!$AB$5:$AB$300,ROWS($A$7:A134)),タスク!$AB$5:$AB$300,0))),"")</f>
        <v/>
      </c>
      <c r="C134" s="53" t="str">
        <f>IFERROR(IF(SMALL(タスク!$AB$5:$AB$300,ROWS($A$7:A134))&gt;=1000000000000,"",INDEX(タスク!C$5:C$300,MATCH(SMALL(タスク!$AB$5:$AB$300,ROWS($A$7:A134)),タスク!$AB$5:$AB$300,0))),"")</f>
        <v/>
      </c>
      <c r="D134" s="53" t="str">
        <f>IFERROR(IF(SMALL(タスク!$AB$5:$AB$300,ROWS($A$7:A134))&gt;=1000000000000,"",INDEX(タスク!D$5:D$300,MATCH(SMALL(タスク!$AB$5:$AB$300,ROWS($A$7:A134)),タスク!$AB$5:$AB$300,0))),"")</f>
        <v/>
      </c>
      <c r="E134" s="53" t="str">
        <f>IFERROR(IF(SMALL(タスク!$AB$5:$AB$300,ROWS($A$7:A134))&gt;=1000000000000,"",INDEX(タスク!E$5:E$300,MATCH(SMALL(タスク!$AB$5:$AB$300,ROWS($A$7:A134)),タスク!$AB$5:$AB$300,0))),"")</f>
        <v/>
      </c>
      <c r="F134" s="53" t="str">
        <f>IFERROR(IF(SMALL(タスク!$AB$5:$AB$300,ROWS($A$7:A134))&gt;=1000000000000,"",INDEX(タスク!F$5:F$300,MATCH(SMALL(タスク!$AB$5:$AB$300,ROWS($A$7:A134)),タスク!$AB$5:$AB$300,0))),"")</f>
        <v/>
      </c>
      <c r="G134" s="53" t="str">
        <f>IFERROR(IF(SMALL(タスク!$AB$5:$AB$300,ROWS($A$7:A134))&gt;=1000000000000,"",INDEX(タスク!G$5:G$300,MATCH(SMALL(タスク!$AB$5:$AB$300,ROWS($A$7:A134)),タスク!$AB$5:$AB$300,0))),"")</f>
        <v/>
      </c>
      <c r="H134" s="53" t="str">
        <f>IFERROR(IF(SMALL(タスク!$AB$5:$AB$300,ROWS($A$7:A134))&gt;=1000000000000,"",INDEX(タスク!H$5:H$300,MATCH(SMALL(タスク!$AB$5:$AB$300,ROWS($A$7:A134)),タスク!$AB$5:$AB$300,0))),"")</f>
        <v/>
      </c>
      <c r="I134" s="53" t="str">
        <f>IFERROR(IF(SMALL(タスク!$AB$5:$AB$300,ROWS($A$7:A134))&gt;=1000000000000,"",INDEX(タスク!I$5:I$300,MATCH(SMALL(タスク!$AB$5:$AB$300,ROWS($A$7:A134)),タスク!$AB$5:$AB$300,0))),"")</f>
        <v/>
      </c>
      <c r="J134" s="53" t="str">
        <f>IFERROR(IF(SMALL(タスク!$AB$5:$AB$300,ROWS($A$7:A134))&gt;=1000000000000,"",INDEX(タスク!J$5:J$300,MATCH(SMALL(タスク!$AB$5:$AB$300,ROWS($A$7:A134)),タスク!$AB$5:$AB$300,0))),"")</f>
        <v/>
      </c>
    </row>
    <row r="135" spans="1:10">
      <c r="A135" s="53" t="str">
        <f>IFERROR(IF(SMALL(タスク!$AB$5:$AB$300,ROWS($A$7:A135))&gt;=1000000000000,"",INDEX(タスク!A$5:A$300,MATCH(SMALL(タスク!$AB$5:$AB$300,ROWS($A$7:A135)),タスク!$AB$5:$AB$300,0))),"")</f>
        <v/>
      </c>
      <c r="B135" s="53" t="str">
        <f>IFERROR(IF(SMALL(タスク!$AB$5:$AB$300,ROWS($A$7:A135))&gt;=1000000000000,"",INDEX(タスク!B$5:B$300,MATCH(SMALL(タスク!$AB$5:$AB$300,ROWS($A$7:A135)),タスク!$AB$5:$AB$300,0))),"")</f>
        <v/>
      </c>
      <c r="C135" s="53" t="str">
        <f>IFERROR(IF(SMALL(タスク!$AB$5:$AB$300,ROWS($A$7:A135))&gt;=1000000000000,"",INDEX(タスク!C$5:C$300,MATCH(SMALL(タスク!$AB$5:$AB$300,ROWS($A$7:A135)),タスク!$AB$5:$AB$300,0))),"")</f>
        <v/>
      </c>
      <c r="D135" s="53" t="str">
        <f>IFERROR(IF(SMALL(タスク!$AB$5:$AB$300,ROWS($A$7:A135))&gt;=1000000000000,"",INDEX(タスク!D$5:D$300,MATCH(SMALL(タスク!$AB$5:$AB$300,ROWS($A$7:A135)),タスク!$AB$5:$AB$300,0))),"")</f>
        <v/>
      </c>
      <c r="E135" s="53" t="str">
        <f>IFERROR(IF(SMALL(タスク!$AB$5:$AB$300,ROWS($A$7:A135))&gt;=1000000000000,"",INDEX(タスク!E$5:E$300,MATCH(SMALL(タスク!$AB$5:$AB$300,ROWS($A$7:A135)),タスク!$AB$5:$AB$300,0))),"")</f>
        <v/>
      </c>
      <c r="F135" s="53" t="str">
        <f>IFERROR(IF(SMALL(タスク!$AB$5:$AB$300,ROWS($A$7:A135))&gt;=1000000000000,"",INDEX(タスク!F$5:F$300,MATCH(SMALL(タスク!$AB$5:$AB$300,ROWS($A$7:A135)),タスク!$AB$5:$AB$300,0))),"")</f>
        <v/>
      </c>
      <c r="G135" s="53" t="str">
        <f>IFERROR(IF(SMALL(タスク!$AB$5:$AB$300,ROWS($A$7:A135))&gt;=1000000000000,"",INDEX(タスク!G$5:G$300,MATCH(SMALL(タスク!$AB$5:$AB$300,ROWS($A$7:A135)),タスク!$AB$5:$AB$300,0))),"")</f>
        <v/>
      </c>
      <c r="H135" s="53" t="str">
        <f>IFERROR(IF(SMALL(タスク!$AB$5:$AB$300,ROWS($A$7:A135))&gt;=1000000000000,"",INDEX(タスク!H$5:H$300,MATCH(SMALL(タスク!$AB$5:$AB$300,ROWS($A$7:A135)),タスク!$AB$5:$AB$300,0))),"")</f>
        <v/>
      </c>
      <c r="I135" s="53" t="str">
        <f>IFERROR(IF(SMALL(タスク!$AB$5:$AB$300,ROWS($A$7:A135))&gt;=1000000000000,"",INDEX(タスク!I$5:I$300,MATCH(SMALL(タスク!$AB$5:$AB$300,ROWS($A$7:A135)),タスク!$AB$5:$AB$300,0))),"")</f>
        <v/>
      </c>
      <c r="J135" s="53" t="str">
        <f>IFERROR(IF(SMALL(タスク!$AB$5:$AB$300,ROWS($A$7:A135))&gt;=1000000000000,"",INDEX(タスク!J$5:J$300,MATCH(SMALL(タスク!$AB$5:$AB$300,ROWS($A$7:A135)),タスク!$AB$5:$AB$300,0))),"")</f>
        <v/>
      </c>
    </row>
    <row r="136" spans="1:10">
      <c r="A136" s="53" t="str">
        <f>IFERROR(IF(SMALL(タスク!$AB$5:$AB$300,ROWS($A$7:A136))&gt;=1000000000000,"",INDEX(タスク!A$5:A$300,MATCH(SMALL(タスク!$AB$5:$AB$300,ROWS($A$7:A136)),タスク!$AB$5:$AB$300,0))),"")</f>
        <v/>
      </c>
      <c r="B136" s="53" t="str">
        <f>IFERROR(IF(SMALL(タスク!$AB$5:$AB$300,ROWS($A$7:A136))&gt;=1000000000000,"",INDEX(タスク!B$5:B$300,MATCH(SMALL(タスク!$AB$5:$AB$300,ROWS($A$7:A136)),タスク!$AB$5:$AB$300,0))),"")</f>
        <v/>
      </c>
      <c r="C136" s="53" t="str">
        <f>IFERROR(IF(SMALL(タスク!$AB$5:$AB$300,ROWS($A$7:A136))&gt;=1000000000000,"",INDEX(タスク!C$5:C$300,MATCH(SMALL(タスク!$AB$5:$AB$300,ROWS($A$7:A136)),タスク!$AB$5:$AB$300,0))),"")</f>
        <v/>
      </c>
      <c r="D136" s="53" t="str">
        <f>IFERROR(IF(SMALL(タスク!$AB$5:$AB$300,ROWS($A$7:A136))&gt;=1000000000000,"",INDEX(タスク!D$5:D$300,MATCH(SMALL(タスク!$AB$5:$AB$300,ROWS($A$7:A136)),タスク!$AB$5:$AB$300,0))),"")</f>
        <v/>
      </c>
      <c r="E136" s="53" t="str">
        <f>IFERROR(IF(SMALL(タスク!$AB$5:$AB$300,ROWS($A$7:A136))&gt;=1000000000000,"",INDEX(タスク!E$5:E$300,MATCH(SMALL(タスク!$AB$5:$AB$300,ROWS($A$7:A136)),タスク!$AB$5:$AB$300,0))),"")</f>
        <v/>
      </c>
      <c r="F136" s="53" t="str">
        <f>IFERROR(IF(SMALL(タスク!$AB$5:$AB$300,ROWS($A$7:A136))&gt;=1000000000000,"",INDEX(タスク!F$5:F$300,MATCH(SMALL(タスク!$AB$5:$AB$300,ROWS($A$7:A136)),タスク!$AB$5:$AB$300,0))),"")</f>
        <v/>
      </c>
      <c r="G136" s="53" t="str">
        <f>IFERROR(IF(SMALL(タスク!$AB$5:$AB$300,ROWS($A$7:A136))&gt;=1000000000000,"",INDEX(タスク!G$5:G$300,MATCH(SMALL(タスク!$AB$5:$AB$300,ROWS($A$7:A136)),タスク!$AB$5:$AB$300,0))),"")</f>
        <v/>
      </c>
      <c r="H136" s="53" t="str">
        <f>IFERROR(IF(SMALL(タスク!$AB$5:$AB$300,ROWS($A$7:A136))&gt;=1000000000000,"",INDEX(タスク!H$5:H$300,MATCH(SMALL(タスク!$AB$5:$AB$300,ROWS($A$7:A136)),タスク!$AB$5:$AB$300,0))),"")</f>
        <v/>
      </c>
      <c r="I136" s="53" t="str">
        <f>IFERROR(IF(SMALL(タスク!$AB$5:$AB$300,ROWS($A$7:A136))&gt;=1000000000000,"",INDEX(タスク!I$5:I$300,MATCH(SMALL(タスク!$AB$5:$AB$300,ROWS($A$7:A136)),タスク!$AB$5:$AB$300,0))),"")</f>
        <v/>
      </c>
      <c r="J136" s="53" t="str">
        <f>IFERROR(IF(SMALL(タスク!$AB$5:$AB$300,ROWS($A$7:A136))&gt;=1000000000000,"",INDEX(タスク!J$5:J$300,MATCH(SMALL(タスク!$AB$5:$AB$300,ROWS($A$7:A136)),タスク!$AB$5:$AB$300,0))),"")</f>
        <v/>
      </c>
    </row>
    <row r="137" spans="1:10">
      <c r="A137" s="53" t="str">
        <f>IFERROR(IF(SMALL(タスク!$AB$5:$AB$300,ROWS($A$7:A137))&gt;=1000000000000,"",INDEX(タスク!A$5:A$300,MATCH(SMALL(タスク!$AB$5:$AB$300,ROWS($A$7:A137)),タスク!$AB$5:$AB$300,0))),"")</f>
        <v/>
      </c>
      <c r="B137" s="53" t="str">
        <f>IFERROR(IF(SMALL(タスク!$AB$5:$AB$300,ROWS($A$7:A137))&gt;=1000000000000,"",INDEX(タスク!B$5:B$300,MATCH(SMALL(タスク!$AB$5:$AB$300,ROWS($A$7:A137)),タスク!$AB$5:$AB$300,0))),"")</f>
        <v/>
      </c>
      <c r="C137" s="53" t="str">
        <f>IFERROR(IF(SMALL(タスク!$AB$5:$AB$300,ROWS($A$7:A137))&gt;=1000000000000,"",INDEX(タスク!C$5:C$300,MATCH(SMALL(タスク!$AB$5:$AB$300,ROWS($A$7:A137)),タスク!$AB$5:$AB$300,0))),"")</f>
        <v/>
      </c>
      <c r="D137" s="53" t="str">
        <f>IFERROR(IF(SMALL(タスク!$AB$5:$AB$300,ROWS($A$7:A137))&gt;=1000000000000,"",INDEX(タスク!D$5:D$300,MATCH(SMALL(タスク!$AB$5:$AB$300,ROWS($A$7:A137)),タスク!$AB$5:$AB$300,0))),"")</f>
        <v/>
      </c>
      <c r="E137" s="53" t="str">
        <f>IFERROR(IF(SMALL(タスク!$AB$5:$AB$300,ROWS($A$7:A137))&gt;=1000000000000,"",INDEX(タスク!E$5:E$300,MATCH(SMALL(タスク!$AB$5:$AB$300,ROWS($A$7:A137)),タスク!$AB$5:$AB$300,0))),"")</f>
        <v/>
      </c>
      <c r="F137" s="53" t="str">
        <f>IFERROR(IF(SMALL(タスク!$AB$5:$AB$300,ROWS($A$7:A137))&gt;=1000000000000,"",INDEX(タスク!F$5:F$300,MATCH(SMALL(タスク!$AB$5:$AB$300,ROWS($A$7:A137)),タスク!$AB$5:$AB$300,0))),"")</f>
        <v/>
      </c>
      <c r="G137" s="53" t="str">
        <f>IFERROR(IF(SMALL(タスク!$AB$5:$AB$300,ROWS($A$7:A137))&gt;=1000000000000,"",INDEX(タスク!G$5:G$300,MATCH(SMALL(タスク!$AB$5:$AB$300,ROWS($A$7:A137)),タスク!$AB$5:$AB$300,0))),"")</f>
        <v/>
      </c>
      <c r="H137" s="53" t="str">
        <f>IFERROR(IF(SMALL(タスク!$AB$5:$AB$300,ROWS($A$7:A137))&gt;=1000000000000,"",INDEX(タスク!H$5:H$300,MATCH(SMALL(タスク!$AB$5:$AB$300,ROWS($A$7:A137)),タスク!$AB$5:$AB$300,0))),"")</f>
        <v/>
      </c>
      <c r="I137" s="53" t="str">
        <f>IFERROR(IF(SMALL(タスク!$AB$5:$AB$300,ROWS($A$7:A137))&gt;=1000000000000,"",INDEX(タスク!I$5:I$300,MATCH(SMALL(タスク!$AB$5:$AB$300,ROWS($A$7:A137)),タスク!$AB$5:$AB$300,0))),"")</f>
        <v/>
      </c>
      <c r="J137" s="53" t="str">
        <f>IFERROR(IF(SMALL(タスク!$AB$5:$AB$300,ROWS($A$7:A137))&gt;=1000000000000,"",INDEX(タスク!J$5:J$300,MATCH(SMALL(タスク!$AB$5:$AB$300,ROWS($A$7:A137)),タスク!$AB$5:$AB$300,0))),"")</f>
        <v/>
      </c>
    </row>
    <row r="138" spans="1:10">
      <c r="A138" s="53" t="str">
        <f>IFERROR(IF(SMALL(タスク!$AB$5:$AB$300,ROWS($A$7:A138))&gt;=1000000000000,"",INDEX(タスク!A$5:A$300,MATCH(SMALL(タスク!$AB$5:$AB$300,ROWS($A$7:A138)),タスク!$AB$5:$AB$300,0))),"")</f>
        <v/>
      </c>
      <c r="B138" s="53" t="str">
        <f>IFERROR(IF(SMALL(タスク!$AB$5:$AB$300,ROWS($A$7:A138))&gt;=1000000000000,"",INDEX(タスク!B$5:B$300,MATCH(SMALL(タスク!$AB$5:$AB$300,ROWS($A$7:A138)),タスク!$AB$5:$AB$300,0))),"")</f>
        <v/>
      </c>
      <c r="C138" s="53" t="str">
        <f>IFERROR(IF(SMALL(タスク!$AB$5:$AB$300,ROWS($A$7:A138))&gt;=1000000000000,"",INDEX(タスク!C$5:C$300,MATCH(SMALL(タスク!$AB$5:$AB$300,ROWS($A$7:A138)),タスク!$AB$5:$AB$300,0))),"")</f>
        <v/>
      </c>
      <c r="D138" s="53" t="str">
        <f>IFERROR(IF(SMALL(タスク!$AB$5:$AB$300,ROWS($A$7:A138))&gt;=1000000000000,"",INDEX(タスク!D$5:D$300,MATCH(SMALL(タスク!$AB$5:$AB$300,ROWS($A$7:A138)),タスク!$AB$5:$AB$300,0))),"")</f>
        <v/>
      </c>
      <c r="E138" s="53" t="str">
        <f>IFERROR(IF(SMALL(タスク!$AB$5:$AB$300,ROWS($A$7:A138))&gt;=1000000000000,"",INDEX(タスク!E$5:E$300,MATCH(SMALL(タスク!$AB$5:$AB$300,ROWS($A$7:A138)),タスク!$AB$5:$AB$300,0))),"")</f>
        <v/>
      </c>
      <c r="F138" s="53" t="str">
        <f>IFERROR(IF(SMALL(タスク!$AB$5:$AB$300,ROWS($A$7:A138))&gt;=1000000000000,"",INDEX(タスク!F$5:F$300,MATCH(SMALL(タスク!$AB$5:$AB$300,ROWS($A$7:A138)),タスク!$AB$5:$AB$300,0))),"")</f>
        <v/>
      </c>
      <c r="G138" s="53" t="str">
        <f>IFERROR(IF(SMALL(タスク!$AB$5:$AB$300,ROWS($A$7:A138))&gt;=1000000000000,"",INDEX(タスク!G$5:G$300,MATCH(SMALL(タスク!$AB$5:$AB$300,ROWS($A$7:A138)),タスク!$AB$5:$AB$300,0))),"")</f>
        <v/>
      </c>
      <c r="H138" s="53" t="str">
        <f>IFERROR(IF(SMALL(タスク!$AB$5:$AB$300,ROWS($A$7:A138))&gt;=1000000000000,"",INDEX(タスク!H$5:H$300,MATCH(SMALL(タスク!$AB$5:$AB$300,ROWS($A$7:A138)),タスク!$AB$5:$AB$300,0))),"")</f>
        <v/>
      </c>
      <c r="I138" s="53" t="str">
        <f>IFERROR(IF(SMALL(タスク!$AB$5:$AB$300,ROWS($A$7:A138))&gt;=1000000000000,"",INDEX(タスク!I$5:I$300,MATCH(SMALL(タスク!$AB$5:$AB$300,ROWS($A$7:A138)),タスク!$AB$5:$AB$300,0))),"")</f>
        <v/>
      </c>
      <c r="J138" s="53" t="str">
        <f>IFERROR(IF(SMALL(タスク!$AB$5:$AB$300,ROWS($A$7:A138))&gt;=1000000000000,"",INDEX(タスク!J$5:J$300,MATCH(SMALL(タスク!$AB$5:$AB$300,ROWS($A$7:A138)),タスク!$AB$5:$AB$300,0))),"")</f>
        <v/>
      </c>
    </row>
    <row r="139" spans="1:10">
      <c r="A139" s="53" t="str">
        <f>IFERROR(IF(SMALL(タスク!$AB$5:$AB$300,ROWS($A$7:A139))&gt;=1000000000000,"",INDEX(タスク!A$5:A$300,MATCH(SMALL(タスク!$AB$5:$AB$300,ROWS($A$7:A139)),タスク!$AB$5:$AB$300,0))),"")</f>
        <v/>
      </c>
      <c r="B139" s="53" t="str">
        <f>IFERROR(IF(SMALL(タスク!$AB$5:$AB$300,ROWS($A$7:A139))&gt;=1000000000000,"",INDEX(タスク!B$5:B$300,MATCH(SMALL(タスク!$AB$5:$AB$300,ROWS($A$7:A139)),タスク!$AB$5:$AB$300,0))),"")</f>
        <v/>
      </c>
      <c r="C139" s="53" t="str">
        <f>IFERROR(IF(SMALL(タスク!$AB$5:$AB$300,ROWS($A$7:A139))&gt;=1000000000000,"",INDEX(タスク!C$5:C$300,MATCH(SMALL(タスク!$AB$5:$AB$300,ROWS($A$7:A139)),タスク!$AB$5:$AB$300,0))),"")</f>
        <v/>
      </c>
      <c r="D139" s="53" t="str">
        <f>IFERROR(IF(SMALL(タスク!$AB$5:$AB$300,ROWS($A$7:A139))&gt;=1000000000000,"",INDEX(タスク!D$5:D$300,MATCH(SMALL(タスク!$AB$5:$AB$300,ROWS($A$7:A139)),タスク!$AB$5:$AB$300,0))),"")</f>
        <v/>
      </c>
      <c r="E139" s="53" t="str">
        <f>IFERROR(IF(SMALL(タスク!$AB$5:$AB$300,ROWS($A$7:A139))&gt;=1000000000000,"",INDEX(タスク!E$5:E$300,MATCH(SMALL(タスク!$AB$5:$AB$300,ROWS($A$7:A139)),タスク!$AB$5:$AB$300,0))),"")</f>
        <v/>
      </c>
      <c r="F139" s="53" t="str">
        <f>IFERROR(IF(SMALL(タスク!$AB$5:$AB$300,ROWS($A$7:A139))&gt;=1000000000000,"",INDEX(タスク!F$5:F$300,MATCH(SMALL(タスク!$AB$5:$AB$300,ROWS($A$7:A139)),タスク!$AB$5:$AB$300,0))),"")</f>
        <v/>
      </c>
      <c r="G139" s="53" t="str">
        <f>IFERROR(IF(SMALL(タスク!$AB$5:$AB$300,ROWS($A$7:A139))&gt;=1000000000000,"",INDEX(タスク!G$5:G$300,MATCH(SMALL(タスク!$AB$5:$AB$300,ROWS($A$7:A139)),タスク!$AB$5:$AB$300,0))),"")</f>
        <v/>
      </c>
      <c r="H139" s="53" t="str">
        <f>IFERROR(IF(SMALL(タスク!$AB$5:$AB$300,ROWS($A$7:A139))&gt;=1000000000000,"",INDEX(タスク!H$5:H$300,MATCH(SMALL(タスク!$AB$5:$AB$300,ROWS($A$7:A139)),タスク!$AB$5:$AB$300,0))),"")</f>
        <v/>
      </c>
      <c r="I139" s="53" t="str">
        <f>IFERROR(IF(SMALL(タスク!$AB$5:$AB$300,ROWS($A$7:A139))&gt;=1000000000000,"",INDEX(タスク!I$5:I$300,MATCH(SMALL(タスク!$AB$5:$AB$300,ROWS($A$7:A139)),タスク!$AB$5:$AB$300,0))),"")</f>
        <v/>
      </c>
      <c r="J139" s="53" t="str">
        <f>IFERROR(IF(SMALL(タスク!$AB$5:$AB$300,ROWS($A$7:A139))&gt;=1000000000000,"",INDEX(タスク!J$5:J$300,MATCH(SMALL(タスク!$AB$5:$AB$300,ROWS($A$7:A139)),タスク!$AB$5:$AB$300,0))),"")</f>
        <v/>
      </c>
    </row>
    <row r="140" spans="1:10">
      <c r="A140" s="53" t="str">
        <f>IFERROR(IF(SMALL(タスク!$AB$5:$AB$300,ROWS($A$7:A140))&gt;=1000000000000,"",INDEX(タスク!A$5:A$300,MATCH(SMALL(タスク!$AB$5:$AB$300,ROWS($A$7:A140)),タスク!$AB$5:$AB$300,0))),"")</f>
        <v/>
      </c>
      <c r="B140" s="53" t="str">
        <f>IFERROR(IF(SMALL(タスク!$AB$5:$AB$300,ROWS($A$7:A140))&gt;=1000000000000,"",INDEX(タスク!B$5:B$300,MATCH(SMALL(タスク!$AB$5:$AB$300,ROWS($A$7:A140)),タスク!$AB$5:$AB$300,0))),"")</f>
        <v/>
      </c>
      <c r="C140" s="53" t="str">
        <f>IFERROR(IF(SMALL(タスク!$AB$5:$AB$300,ROWS($A$7:A140))&gt;=1000000000000,"",INDEX(タスク!C$5:C$300,MATCH(SMALL(タスク!$AB$5:$AB$300,ROWS($A$7:A140)),タスク!$AB$5:$AB$300,0))),"")</f>
        <v/>
      </c>
      <c r="D140" s="53" t="str">
        <f>IFERROR(IF(SMALL(タスク!$AB$5:$AB$300,ROWS($A$7:A140))&gt;=1000000000000,"",INDEX(タスク!D$5:D$300,MATCH(SMALL(タスク!$AB$5:$AB$300,ROWS($A$7:A140)),タスク!$AB$5:$AB$300,0))),"")</f>
        <v/>
      </c>
      <c r="E140" s="53" t="str">
        <f>IFERROR(IF(SMALL(タスク!$AB$5:$AB$300,ROWS($A$7:A140))&gt;=1000000000000,"",INDEX(タスク!E$5:E$300,MATCH(SMALL(タスク!$AB$5:$AB$300,ROWS($A$7:A140)),タスク!$AB$5:$AB$300,0))),"")</f>
        <v/>
      </c>
      <c r="F140" s="53" t="str">
        <f>IFERROR(IF(SMALL(タスク!$AB$5:$AB$300,ROWS($A$7:A140))&gt;=1000000000000,"",INDEX(タスク!F$5:F$300,MATCH(SMALL(タスク!$AB$5:$AB$300,ROWS($A$7:A140)),タスク!$AB$5:$AB$300,0))),"")</f>
        <v/>
      </c>
      <c r="G140" s="53" t="str">
        <f>IFERROR(IF(SMALL(タスク!$AB$5:$AB$300,ROWS($A$7:A140))&gt;=1000000000000,"",INDEX(タスク!G$5:G$300,MATCH(SMALL(タスク!$AB$5:$AB$300,ROWS($A$7:A140)),タスク!$AB$5:$AB$300,0))),"")</f>
        <v/>
      </c>
      <c r="H140" s="53" t="str">
        <f>IFERROR(IF(SMALL(タスク!$AB$5:$AB$300,ROWS($A$7:A140))&gt;=1000000000000,"",INDEX(タスク!H$5:H$300,MATCH(SMALL(タスク!$AB$5:$AB$300,ROWS($A$7:A140)),タスク!$AB$5:$AB$300,0))),"")</f>
        <v/>
      </c>
      <c r="I140" s="53" t="str">
        <f>IFERROR(IF(SMALL(タスク!$AB$5:$AB$300,ROWS($A$7:A140))&gt;=1000000000000,"",INDEX(タスク!I$5:I$300,MATCH(SMALL(タスク!$AB$5:$AB$300,ROWS($A$7:A140)),タスク!$AB$5:$AB$300,0))),"")</f>
        <v/>
      </c>
      <c r="J140" s="53" t="str">
        <f>IFERROR(IF(SMALL(タスク!$AB$5:$AB$300,ROWS($A$7:A140))&gt;=1000000000000,"",INDEX(タスク!J$5:J$300,MATCH(SMALL(タスク!$AB$5:$AB$300,ROWS($A$7:A140)),タスク!$AB$5:$AB$300,0))),"")</f>
        <v/>
      </c>
    </row>
    <row r="141" spans="1:10">
      <c r="A141" s="53" t="str">
        <f>IFERROR(IF(SMALL(タスク!$AB$5:$AB$300,ROWS($A$7:A141))&gt;=1000000000000,"",INDEX(タスク!A$5:A$300,MATCH(SMALL(タスク!$AB$5:$AB$300,ROWS($A$7:A141)),タスク!$AB$5:$AB$300,0))),"")</f>
        <v/>
      </c>
      <c r="B141" s="53" t="str">
        <f>IFERROR(IF(SMALL(タスク!$AB$5:$AB$300,ROWS($A$7:A141))&gt;=1000000000000,"",INDEX(タスク!B$5:B$300,MATCH(SMALL(タスク!$AB$5:$AB$300,ROWS($A$7:A141)),タスク!$AB$5:$AB$300,0))),"")</f>
        <v/>
      </c>
      <c r="C141" s="53" t="str">
        <f>IFERROR(IF(SMALL(タスク!$AB$5:$AB$300,ROWS($A$7:A141))&gt;=1000000000000,"",INDEX(タスク!C$5:C$300,MATCH(SMALL(タスク!$AB$5:$AB$300,ROWS($A$7:A141)),タスク!$AB$5:$AB$300,0))),"")</f>
        <v/>
      </c>
      <c r="D141" s="53" t="str">
        <f>IFERROR(IF(SMALL(タスク!$AB$5:$AB$300,ROWS($A$7:A141))&gt;=1000000000000,"",INDEX(タスク!D$5:D$300,MATCH(SMALL(タスク!$AB$5:$AB$300,ROWS($A$7:A141)),タスク!$AB$5:$AB$300,0))),"")</f>
        <v/>
      </c>
      <c r="E141" s="53" t="str">
        <f>IFERROR(IF(SMALL(タスク!$AB$5:$AB$300,ROWS($A$7:A141))&gt;=1000000000000,"",INDEX(タスク!E$5:E$300,MATCH(SMALL(タスク!$AB$5:$AB$300,ROWS($A$7:A141)),タスク!$AB$5:$AB$300,0))),"")</f>
        <v/>
      </c>
      <c r="F141" s="53" t="str">
        <f>IFERROR(IF(SMALL(タスク!$AB$5:$AB$300,ROWS($A$7:A141))&gt;=1000000000000,"",INDEX(タスク!F$5:F$300,MATCH(SMALL(タスク!$AB$5:$AB$300,ROWS($A$7:A141)),タスク!$AB$5:$AB$300,0))),"")</f>
        <v/>
      </c>
      <c r="G141" s="53" t="str">
        <f>IFERROR(IF(SMALL(タスク!$AB$5:$AB$300,ROWS($A$7:A141))&gt;=1000000000000,"",INDEX(タスク!G$5:G$300,MATCH(SMALL(タスク!$AB$5:$AB$300,ROWS($A$7:A141)),タスク!$AB$5:$AB$300,0))),"")</f>
        <v/>
      </c>
      <c r="H141" s="53" t="str">
        <f>IFERROR(IF(SMALL(タスク!$AB$5:$AB$300,ROWS($A$7:A141))&gt;=1000000000000,"",INDEX(タスク!H$5:H$300,MATCH(SMALL(タスク!$AB$5:$AB$300,ROWS($A$7:A141)),タスク!$AB$5:$AB$300,0))),"")</f>
        <v/>
      </c>
      <c r="I141" s="53" t="str">
        <f>IFERROR(IF(SMALL(タスク!$AB$5:$AB$300,ROWS($A$7:A141))&gt;=1000000000000,"",INDEX(タスク!I$5:I$300,MATCH(SMALL(タスク!$AB$5:$AB$300,ROWS($A$7:A141)),タスク!$AB$5:$AB$300,0))),"")</f>
        <v/>
      </c>
      <c r="J141" s="53" t="str">
        <f>IFERROR(IF(SMALL(タスク!$AB$5:$AB$300,ROWS($A$7:A141))&gt;=1000000000000,"",INDEX(タスク!J$5:J$300,MATCH(SMALL(タスク!$AB$5:$AB$300,ROWS($A$7:A141)),タスク!$AB$5:$AB$300,0))),"")</f>
        <v/>
      </c>
    </row>
    <row r="142" spans="1:10">
      <c r="A142" s="53" t="str">
        <f>IFERROR(IF(SMALL(タスク!$AB$5:$AB$300,ROWS($A$7:A142))&gt;=1000000000000,"",INDEX(タスク!A$5:A$300,MATCH(SMALL(タスク!$AB$5:$AB$300,ROWS($A$7:A142)),タスク!$AB$5:$AB$300,0))),"")</f>
        <v/>
      </c>
      <c r="B142" s="53" t="str">
        <f>IFERROR(IF(SMALL(タスク!$AB$5:$AB$300,ROWS($A$7:A142))&gt;=1000000000000,"",INDEX(タスク!B$5:B$300,MATCH(SMALL(タスク!$AB$5:$AB$300,ROWS($A$7:A142)),タスク!$AB$5:$AB$300,0))),"")</f>
        <v/>
      </c>
      <c r="C142" s="53" t="str">
        <f>IFERROR(IF(SMALL(タスク!$AB$5:$AB$300,ROWS($A$7:A142))&gt;=1000000000000,"",INDEX(タスク!C$5:C$300,MATCH(SMALL(タスク!$AB$5:$AB$300,ROWS($A$7:A142)),タスク!$AB$5:$AB$300,0))),"")</f>
        <v/>
      </c>
      <c r="D142" s="53" t="str">
        <f>IFERROR(IF(SMALL(タスク!$AB$5:$AB$300,ROWS($A$7:A142))&gt;=1000000000000,"",INDEX(タスク!D$5:D$300,MATCH(SMALL(タスク!$AB$5:$AB$300,ROWS($A$7:A142)),タスク!$AB$5:$AB$300,0))),"")</f>
        <v/>
      </c>
      <c r="E142" s="53" t="str">
        <f>IFERROR(IF(SMALL(タスク!$AB$5:$AB$300,ROWS($A$7:A142))&gt;=1000000000000,"",INDEX(タスク!E$5:E$300,MATCH(SMALL(タスク!$AB$5:$AB$300,ROWS($A$7:A142)),タスク!$AB$5:$AB$300,0))),"")</f>
        <v/>
      </c>
      <c r="F142" s="53" t="str">
        <f>IFERROR(IF(SMALL(タスク!$AB$5:$AB$300,ROWS($A$7:A142))&gt;=1000000000000,"",INDEX(タスク!F$5:F$300,MATCH(SMALL(タスク!$AB$5:$AB$300,ROWS($A$7:A142)),タスク!$AB$5:$AB$300,0))),"")</f>
        <v/>
      </c>
      <c r="G142" s="53" t="str">
        <f>IFERROR(IF(SMALL(タスク!$AB$5:$AB$300,ROWS($A$7:A142))&gt;=1000000000000,"",INDEX(タスク!G$5:G$300,MATCH(SMALL(タスク!$AB$5:$AB$300,ROWS($A$7:A142)),タスク!$AB$5:$AB$300,0))),"")</f>
        <v/>
      </c>
      <c r="H142" s="53" t="str">
        <f>IFERROR(IF(SMALL(タスク!$AB$5:$AB$300,ROWS($A$7:A142))&gt;=1000000000000,"",INDEX(タスク!H$5:H$300,MATCH(SMALL(タスク!$AB$5:$AB$300,ROWS($A$7:A142)),タスク!$AB$5:$AB$300,0))),"")</f>
        <v/>
      </c>
      <c r="I142" s="53" t="str">
        <f>IFERROR(IF(SMALL(タスク!$AB$5:$AB$300,ROWS($A$7:A142))&gt;=1000000000000,"",INDEX(タスク!I$5:I$300,MATCH(SMALL(タスク!$AB$5:$AB$300,ROWS($A$7:A142)),タスク!$AB$5:$AB$300,0))),"")</f>
        <v/>
      </c>
      <c r="J142" s="53" t="str">
        <f>IFERROR(IF(SMALL(タスク!$AB$5:$AB$300,ROWS($A$7:A142))&gt;=1000000000000,"",INDEX(タスク!J$5:J$300,MATCH(SMALL(タスク!$AB$5:$AB$300,ROWS($A$7:A142)),タスク!$AB$5:$AB$300,0))),"")</f>
        <v/>
      </c>
    </row>
    <row r="143" spans="1:10">
      <c r="A143" s="53" t="str">
        <f>IFERROR(IF(SMALL(タスク!$AB$5:$AB$300,ROWS($A$7:A143))&gt;=1000000000000,"",INDEX(タスク!A$5:A$300,MATCH(SMALL(タスク!$AB$5:$AB$300,ROWS($A$7:A143)),タスク!$AB$5:$AB$300,0))),"")</f>
        <v/>
      </c>
      <c r="B143" s="53" t="str">
        <f>IFERROR(IF(SMALL(タスク!$AB$5:$AB$300,ROWS($A$7:A143))&gt;=1000000000000,"",INDEX(タスク!B$5:B$300,MATCH(SMALL(タスク!$AB$5:$AB$300,ROWS($A$7:A143)),タスク!$AB$5:$AB$300,0))),"")</f>
        <v/>
      </c>
      <c r="C143" s="53" t="str">
        <f>IFERROR(IF(SMALL(タスク!$AB$5:$AB$300,ROWS($A$7:A143))&gt;=1000000000000,"",INDEX(タスク!C$5:C$300,MATCH(SMALL(タスク!$AB$5:$AB$300,ROWS($A$7:A143)),タスク!$AB$5:$AB$300,0))),"")</f>
        <v/>
      </c>
      <c r="D143" s="53" t="str">
        <f>IFERROR(IF(SMALL(タスク!$AB$5:$AB$300,ROWS($A$7:A143))&gt;=1000000000000,"",INDEX(タスク!D$5:D$300,MATCH(SMALL(タスク!$AB$5:$AB$300,ROWS($A$7:A143)),タスク!$AB$5:$AB$300,0))),"")</f>
        <v/>
      </c>
      <c r="E143" s="53" t="str">
        <f>IFERROR(IF(SMALL(タスク!$AB$5:$AB$300,ROWS($A$7:A143))&gt;=1000000000000,"",INDEX(タスク!E$5:E$300,MATCH(SMALL(タスク!$AB$5:$AB$300,ROWS($A$7:A143)),タスク!$AB$5:$AB$300,0))),"")</f>
        <v/>
      </c>
      <c r="F143" s="53" t="str">
        <f>IFERROR(IF(SMALL(タスク!$AB$5:$AB$300,ROWS($A$7:A143))&gt;=1000000000000,"",INDEX(タスク!F$5:F$300,MATCH(SMALL(タスク!$AB$5:$AB$300,ROWS($A$7:A143)),タスク!$AB$5:$AB$300,0))),"")</f>
        <v/>
      </c>
      <c r="G143" s="53" t="str">
        <f>IFERROR(IF(SMALL(タスク!$AB$5:$AB$300,ROWS($A$7:A143))&gt;=1000000000000,"",INDEX(タスク!G$5:G$300,MATCH(SMALL(タスク!$AB$5:$AB$300,ROWS($A$7:A143)),タスク!$AB$5:$AB$300,0))),"")</f>
        <v/>
      </c>
      <c r="H143" s="53" t="str">
        <f>IFERROR(IF(SMALL(タスク!$AB$5:$AB$300,ROWS($A$7:A143))&gt;=1000000000000,"",INDEX(タスク!H$5:H$300,MATCH(SMALL(タスク!$AB$5:$AB$300,ROWS($A$7:A143)),タスク!$AB$5:$AB$300,0))),"")</f>
        <v/>
      </c>
      <c r="I143" s="53" t="str">
        <f>IFERROR(IF(SMALL(タスク!$AB$5:$AB$300,ROWS($A$7:A143))&gt;=1000000000000,"",INDEX(タスク!I$5:I$300,MATCH(SMALL(タスク!$AB$5:$AB$300,ROWS($A$7:A143)),タスク!$AB$5:$AB$300,0))),"")</f>
        <v/>
      </c>
      <c r="J143" s="53" t="str">
        <f>IFERROR(IF(SMALL(タスク!$AB$5:$AB$300,ROWS($A$7:A143))&gt;=1000000000000,"",INDEX(タスク!J$5:J$300,MATCH(SMALL(タスク!$AB$5:$AB$300,ROWS($A$7:A143)),タスク!$AB$5:$AB$300,0))),"")</f>
        <v/>
      </c>
    </row>
    <row r="144" spans="1:10">
      <c r="A144" s="53" t="str">
        <f>IFERROR(IF(SMALL(タスク!$AB$5:$AB$300,ROWS($A$7:A144))&gt;=1000000000000,"",INDEX(タスク!A$5:A$300,MATCH(SMALL(タスク!$AB$5:$AB$300,ROWS($A$7:A144)),タスク!$AB$5:$AB$300,0))),"")</f>
        <v/>
      </c>
      <c r="B144" s="53" t="str">
        <f>IFERROR(IF(SMALL(タスク!$AB$5:$AB$300,ROWS($A$7:A144))&gt;=1000000000000,"",INDEX(タスク!B$5:B$300,MATCH(SMALL(タスク!$AB$5:$AB$300,ROWS($A$7:A144)),タスク!$AB$5:$AB$300,0))),"")</f>
        <v/>
      </c>
      <c r="C144" s="53" t="str">
        <f>IFERROR(IF(SMALL(タスク!$AB$5:$AB$300,ROWS($A$7:A144))&gt;=1000000000000,"",INDEX(タスク!C$5:C$300,MATCH(SMALL(タスク!$AB$5:$AB$300,ROWS($A$7:A144)),タスク!$AB$5:$AB$300,0))),"")</f>
        <v/>
      </c>
      <c r="D144" s="53" t="str">
        <f>IFERROR(IF(SMALL(タスク!$AB$5:$AB$300,ROWS($A$7:A144))&gt;=1000000000000,"",INDEX(タスク!D$5:D$300,MATCH(SMALL(タスク!$AB$5:$AB$300,ROWS($A$7:A144)),タスク!$AB$5:$AB$300,0))),"")</f>
        <v/>
      </c>
      <c r="E144" s="53" t="str">
        <f>IFERROR(IF(SMALL(タスク!$AB$5:$AB$300,ROWS($A$7:A144))&gt;=1000000000000,"",INDEX(タスク!E$5:E$300,MATCH(SMALL(タスク!$AB$5:$AB$300,ROWS($A$7:A144)),タスク!$AB$5:$AB$300,0))),"")</f>
        <v/>
      </c>
      <c r="F144" s="53" t="str">
        <f>IFERROR(IF(SMALL(タスク!$AB$5:$AB$300,ROWS($A$7:A144))&gt;=1000000000000,"",INDEX(タスク!F$5:F$300,MATCH(SMALL(タスク!$AB$5:$AB$300,ROWS($A$7:A144)),タスク!$AB$5:$AB$300,0))),"")</f>
        <v/>
      </c>
      <c r="G144" s="53" t="str">
        <f>IFERROR(IF(SMALL(タスク!$AB$5:$AB$300,ROWS($A$7:A144))&gt;=1000000000000,"",INDEX(タスク!G$5:G$300,MATCH(SMALL(タスク!$AB$5:$AB$300,ROWS($A$7:A144)),タスク!$AB$5:$AB$300,0))),"")</f>
        <v/>
      </c>
      <c r="H144" s="53" t="str">
        <f>IFERROR(IF(SMALL(タスク!$AB$5:$AB$300,ROWS($A$7:A144))&gt;=1000000000000,"",INDEX(タスク!H$5:H$300,MATCH(SMALL(タスク!$AB$5:$AB$300,ROWS($A$7:A144)),タスク!$AB$5:$AB$300,0))),"")</f>
        <v/>
      </c>
      <c r="I144" s="53" t="str">
        <f>IFERROR(IF(SMALL(タスク!$AB$5:$AB$300,ROWS($A$7:A144))&gt;=1000000000000,"",INDEX(タスク!I$5:I$300,MATCH(SMALL(タスク!$AB$5:$AB$300,ROWS($A$7:A144)),タスク!$AB$5:$AB$300,0))),"")</f>
        <v/>
      </c>
      <c r="J144" s="53" t="str">
        <f>IFERROR(IF(SMALL(タスク!$AB$5:$AB$300,ROWS($A$7:A144))&gt;=1000000000000,"",INDEX(タスク!J$5:J$300,MATCH(SMALL(タスク!$AB$5:$AB$300,ROWS($A$7:A144)),タスク!$AB$5:$AB$300,0))),"")</f>
        <v/>
      </c>
    </row>
    <row r="145" spans="1:10">
      <c r="A145" s="53" t="str">
        <f>IFERROR(IF(SMALL(タスク!$AB$5:$AB$300,ROWS($A$7:A145))&gt;=1000000000000,"",INDEX(タスク!A$5:A$300,MATCH(SMALL(タスク!$AB$5:$AB$300,ROWS($A$7:A145)),タスク!$AB$5:$AB$300,0))),"")</f>
        <v/>
      </c>
      <c r="B145" s="53" t="str">
        <f>IFERROR(IF(SMALL(タスク!$AB$5:$AB$300,ROWS($A$7:A145))&gt;=1000000000000,"",INDEX(タスク!B$5:B$300,MATCH(SMALL(タスク!$AB$5:$AB$300,ROWS($A$7:A145)),タスク!$AB$5:$AB$300,0))),"")</f>
        <v/>
      </c>
      <c r="C145" s="53" t="str">
        <f>IFERROR(IF(SMALL(タスク!$AB$5:$AB$300,ROWS($A$7:A145))&gt;=1000000000000,"",INDEX(タスク!C$5:C$300,MATCH(SMALL(タスク!$AB$5:$AB$300,ROWS($A$7:A145)),タスク!$AB$5:$AB$300,0))),"")</f>
        <v/>
      </c>
      <c r="D145" s="53" t="str">
        <f>IFERROR(IF(SMALL(タスク!$AB$5:$AB$300,ROWS($A$7:A145))&gt;=1000000000000,"",INDEX(タスク!D$5:D$300,MATCH(SMALL(タスク!$AB$5:$AB$300,ROWS($A$7:A145)),タスク!$AB$5:$AB$300,0))),"")</f>
        <v/>
      </c>
      <c r="E145" s="53" t="str">
        <f>IFERROR(IF(SMALL(タスク!$AB$5:$AB$300,ROWS($A$7:A145))&gt;=1000000000000,"",INDEX(タスク!E$5:E$300,MATCH(SMALL(タスク!$AB$5:$AB$300,ROWS($A$7:A145)),タスク!$AB$5:$AB$300,0))),"")</f>
        <v/>
      </c>
      <c r="F145" s="53" t="str">
        <f>IFERROR(IF(SMALL(タスク!$AB$5:$AB$300,ROWS($A$7:A145))&gt;=1000000000000,"",INDEX(タスク!F$5:F$300,MATCH(SMALL(タスク!$AB$5:$AB$300,ROWS($A$7:A145)),タスク!$AB$5:$AB$300,0))),"")</f>
        <v/>
      </c>
      <c r="G145" s="53" t="str">
        <f>IFERROR(IF(SMALL(タスク!$AB$5:$AB$300,ROWS($A$7:A145))&gt;=1000000000000,"",INDEX(タスク!G$5:G$300,MATCH(SMALL(タスク!$AB$5:$AB$300,ROWS($A$7:A145)),タスク!$AB$5:$AB$300,0))),"")</f>
        <v/>
      </c>
      <c r="H145" s="53" t="str">
        <f>IFERROR(IF(SMALL(タスク!$AB$5:$AB$300,ROWS($A$7:A145))&gt;=1000000000000,"",INDEX(タスク!H$5:H$300,MATCH(SMALL(タスク!$AB$5:$AB$300,ROWS($A$7:A145)),タスク!$AB$5:$AB$300,0))),"")</f>
        <v/>
      </c>
      <c r="I145" s="53" t="str">
        <f>IFERROR(IF(SMALL(タスク!$AB$5:$AB$300,ROWS($A$7:A145))&gt;=1000000000000,"",INDEX(タスク!I$5:I$300,MATCH(SMALL(タスク!$AB$5:$AB$300,ROWS($A$7:A145)),タスク!$AB$5:$AB$300,0))),"")</f>
        <v/>
      </c>
      <c r="J145" s="53" t="str">
        <f>IFERROR(IF(SMALL(タスク!$AB$5:$AB$300,ROWS($A$7:A145))&gt;=1000000000000,"",INDEX(タスク!J$5:J$300,MATCH(SMALL(タスク!$AB$5:$AB$300,ROWS($A$7:A145)),タスク!$AB$5:$AB$300,0))),"")</f>
        <v/>
      </c>
    </row>
    <row r="146" spans="1:10">
      <c r="A146" s="53" t="str">
        <f>IFERROR(IF(SMALL(タスク!$AB$5:$AB$300,ROWS($A$7:A146))&gt;=1000000000000,"",INDEX(タスク!A$5:A$300,MATCH(SMALL(タスク!$AB$5:$AB$300,ROWS($A$7:A146)),タスク!$AB$5:$AB$300,0))),"")</f>
        <v/>
      </c>
      <c r="B146" s="53" t="str">
        <f>IFERROR(IF(SMALL(タスク!$AB$5:$AB$300,ROWS($A$7:A146))&gt;=1000000000000,"",INDEX(タスク!B$5:B$300,MATCH(SMALL(タスク!$AB$5:$AB$300,ROWS($A$7:A146)),タスク!$AB$5:$AB$300,0))),"")</f>
        <v/>
      </c>
      <c r="C146" s="53" t="str">
        <f>IFERROR(IF(SMALL(タスク!$AB$5:$AB$300,ROWS($A$7:A146))&gt;=1000000000000,"",INDEX(タスク!C$5:C$300,MATCH(SMALL(タスク!$AB$5:$AB$300,ROWS($A$7:A146)),タスク!$AB$5:$AB$300,0))),"")</f>
        <v/>
      </c>
      <c r="D146" s="53" t="str">
        <f>IFERROR(IF(SMALL(タスク!$AB$5:$AB$300,ROWS($A$7:A146))&gt;=1000000000000,"",INDEX(タスク!D$5:D$300,MATCH(SMALL(タスク!$AB$5:$AB$300,ROWS($A$7:A146)),タスク!$AB$5:$AB$300,0))),"")</f>
        <v/>
      </c>
      <c r="E146" s="53" t="str">
        <f>IFERROR(IF(SMALL(タスク!$AB$5:$AB$300,ROWS($A$7:A146))&gt;=1000000000000,"",INDEX(タスク!E$5:E$300,MATCH(SMALL(タスク!$AB$5:$AB$300,ROWS($A$7:A146)),タスク!$AB$5:$AB$300,0))),"")</f>
        <v/>
      </c>
      <c r="F146" s="53" t="str">
        <f>IFERROR(IF(SMALL(タスク!$AB$5:$AB$300,ROWS($A$7:A146))&gt;=1000000000000,"",INDEX(タスク!F$5:F$300,MATCH(SMALL(タスク!$AB$5:$AB$300,ROWS($A$7:A146)),タスク!$AB$5:$AB$300,0))),"")</f>
        <v/>
      </c>
      <c r="G146" s="53" t="str">
        <f>IFERROR(IF(SMALL(タスク!$AB$5:$AB$300,ROWS($A$7:A146))&gt;=1000000000000,"",INDEX(タスク!G$5:G$300,MATCH(SMALL(タスク!$AB$5:$AB$300,ROWS($A$7:A146)),タスク!$AB$5:$AB$300,0))),"")</f>
        <v/>
      </c>
      <c r="H146" s="53" t="str">
        <f>IFERROR(IF(SMALL(タスク!$AB$5:$AB$300,ROWS($A$7:A146))&gt;=1000000000000,"",INDEX(タスク!H$5:H$300,MATCH(SMALL(タスク!$AB$5:$AB$300,ROWS($A$7:A146)),タスク!$AB$5:$AB$300,0))),"")</f>
        <v/>
      </c>
      <c r="I146" s="53" t="str">
        <f>IFERROR(IF(SMALL(タスク!$AB$5:$AB$300,ROWS($A$7:A146))&gt;=1000000000000,"",INDEX(タスク!I$5:I$300,MATCH(SMALL(タスク!$AB$5:$AB$300,ROWS($A$7:A146)),タスク!$AB$5:$AB$300,0))),"")</f>
        <v/>
      </c>
      <c r="J146" s="53" t="str">
        <f>IFERROR(IF(SMALL(タスク!$AB$5:$AB$300,ROWS($A$7:A146))&gt;=1000000000000,"",INDEX(タスク!J$5:J$300,MATCH(SMALL(タスク!$AB$5:$AB$300,ROWS($A$7:A146)),タスク!$AB$5:$AB$300,0))),"")</f>
        <v/>
      </c>
    </row>
    <row r="147" spans="1:10">
      <c r="A147" s="53" t="str">
        <f>IFERROR(IF(SMALL(タスク!$AB$5:$AB$300,ROWS($A$7:A147))&gt;=1000000000000,"",INDEX(タスク!A$5:A$300,MATCH(SMALL(タスク!$AB$5:$AB$300,ROWS($A$7:A147)),タスク!$AB$5:$AB$300,0))),"")</f>
        <v/>
      </c>
      <c r="B147" s="53" t="str">
        <f>IFERROR(IF(SMALL(タスク!$AB$5:$AB$300,ROWS($A$7:A147))&gt;=1000000000000,"",INDEX(タスク!B$5:B$300,MATCH(SMALL(タスク!$AB$5:$AB$300,ROWS($A$7:A147)),タスク!$AB$5:$AB$300,0))),"")</f>
        <v/>
      </c>
      <c r="C147" s="53" t="str">
        <f>IFERROR(IF(SMALL(タスク!$AB$5:$AB$300,ROWS($A$7:A147))&gt;=1000000000000,"",INDEX(タスク!C$5:C$300,MATCH(SMALL(タスク!$AB$5:$AB$300,ROWS($A$7:A147)),タスク!$AB$5:$AB$300,0))),"")</f>
        <v/>
      </c>
      <c r="D147" s="53" t="str">
        <f>IFERROR(IF(SMALL(タスク!$AB$5:$AB$300,ROWS($A$7:A147))&gt;=1000000000000,"",INDEX(タスク!D$5:D$300,MATCH(SMALL(タスク!$AB$5:$AB$300,ROWS($A$7:A147)),タスク!$AB$5:$AB$300,0))),"")</f>
        <v/>
      </c>
      <c r="E147" s="53" t="str">
        <f>IFERROR(IF(SMALL(タスク!$AB$5:$AB$300,ROWS($A$7:A147))&gt;=1000000000000,"",INDEX(タスク!E$5:E$300,MATCH(SMALL(タスク!$AB$5:$AB$300,ROWS($A$7:A147)),タスク!$AB$5:$AB$300,0))),"")</f>
        <v/>
      </c>
      <c r="F147" s="53" t="str">
        <f>IFERROR(IF(SMALL(タスク!$AB$5:$AB$300,ROWS($A$7:A147))&gt;=1000000000000,"",INDEX(タスク!F$5:F$300,MATCH(SMALL(タスク!$AB$5:$AB$300,ROWS($A$7:A147)),タスク!$AB$5:$AB$300,0))),"")</f>
        <v/>
      </c>
      <c r="G147" s="53" t="str">
        <f>IFERROR(IF(SMALL(タスク!$AB$5:$AB$300,ROWS($A$7:A147))&gt;=1000000000000,"",INDEX(タスク!G$5:G$300,MATCH(SMALL(タスク!$AB$5:$AB$300,ROWS($A$7:A147)),タスク!$AB$5:$AB$300,0))),"")</f>
        <v/>
      </c>
      <c r="H147" s="53" t="str">
        <f>IFERROR(IF(SMALL(タスク!$AB$5:$AB$300,ROWS($A$7:A147))&gt;=1000000000000,"",INDEX(タスク!H$5:H$300,MATCH(SMALL(タスク!$AB$5:$AB$300,ROWS($A$7:A147)),タスク!$AB$5:$AB$300,0))),"")</f>
        <v/>
      </c>
      <c r="I147" s="53" t="str">
        <f>IFERROR(IF(SMALL(タスク!$AB$5:$AB$300,ROWS($A$7:A147))&gt;=1000000000000,"",INDEX(タスク!I$5:I$300,MATCH(SMALL(タスク!$AB$5:$AB$300,ROWS($A$7:A147)),タスク!$AB$5:$AB$300,0))),"")</f>
        <v/>
      </c>
      <c r="J147" s="53" t="str">
        <f>IFERROR(IF(SMALL(タスク!$AB$5:$AB$300,ROWS($A$7:A147))&gt;=1000000000000,"",INDEX(タスク!J$5:J$300,MATCH(SMALL(タスク!$AB$5:$AB$300,ROWS($A$7:A147)),タスク!$AB$5:$AB$300,0))),"")</f>
        <v/>
      </c>
    </row>
    <row r="148" spans="1:10">
      <c r="A148" s="53" t="str">
        <f>IFERROR(IF(SMALL(タスク!$AB$5:$AB$300,ROWS($A$7:A148))&gt;=1000000000000,"",INDEX(タスク!A$5:A$300,MATCH(SMALL(タスク!$AB$5:$AB$300,ROWS($A$7:A148)),タスク!$AB$5:$AB$300,0))),"")</f>
        <v/>
      </c>
      <c r="B148" s="53" t="str">
        <f>IFERROR(IF(SMALL(タスク!$AB$5:$AB$300,ROWS($A$7:A148))&gt;=1000000000000,"",INDEX(タスク!B$5:B$300,MATCH(SMALL(タスク!$AB$5:$AB$300,ROWS($A$7:A148)),タスク!$AB$5:$AB$300,0))),"")</f>
        <v/>
      </c>
      <c r="C148" s="53" t="str">
        <f>IFERROR(IF(SMALL(タスク!$AB$5:$AB$300,ROWS($A$7:A148))&gt;=1000000000000,"",INDEX(タスク!C$5:C$300,MATCH(SMALL(タスク!$AB$5:$AB$300,ROWS($A$7:A148)),タスク!$AB$5:$AB$300,0))),"")</f>
        <v/>
      </c>
      <c r="D148" s="53" t="str">
        <f>IFERROR(IF(SMALL(タスク!$AB$5:$AB$300,ROWS($A$7:A148))&gt;=1000000000000,"",INDEX(タスク!D$5:D$300,MATCH(SMALL(タスク!$AB$5:$AB$300,ROWS($A$7:A148)),タスク!$AB$5:$AB$300,0))),"")</f>
        <v/>
      </c>
      <c r="E148" s="53" t="str">
        <f>IFERROR(IF(SMALL(タスク!$AB$5:$AB$300,ROWS($A$7:A148))&gt;=1000000000000,"",INDEX(タスク!E$5:E$300,MATCH(SMALL(タスク!$AB$5:$AB$300,ROWS($A$7:A148)),タスク!$AB$5:$AB$300,0))),"")</f>
        <v/>
      </c>
      <c r="F148" s="53" t="str">
        <f>IFERROR(IF(SMALL(タスク!$AB$5:$AB$300,ROWS($A$7:A148))&gt;=1000000000000,"",INDEX(タスク!F$5:F$300,MATCH(SMALL(タスク!$AB$5:$AB$300,ROWS($A$7:A148)),タスク!$AB$5:$AB$300,0))),"")</f>
        <v/>
      </c>
      <c r="G148" s="53" t="str">
        <f>IFERROR(IF(SMALL(タスク!$AB$5:$AB$300,ROWS($A$7:A148))&gt;=1000000000000,"",INDEX(タスク!G$5:G$300,MATCH(SMALL(タスク!$AB$5:$AB$300,ROWS($A$7:A148)),タスク!$AB$5:$AB$300,0))),"")</f>
        <v/>
      </c>
      <c r="H148" s="53" t="str">
        <f>IFERROR(IF(SMALL(タスク!$AB$5:$AB$300,ROWS($A$7:A148))&gt;=1000000000000,"",INDEX(タスク!H$5:H$300,MATCH(SMALL(タスク!$AB$5:$AB$300,ROWS($A$7:A148)),タスク!$AB$5:$AB$300,0))),"")</f>
        <v/>
      </c>
      <c r="I148" s="53" t="str">
        <f>IFERROR(IF(SMALL(タスク!$AB$5:$AB$300,ROWS($A$7:A148))&gt;=1000000000000,"",INDEX(タスク!I$5:I$300,MATCH(SMALL(タスク!$AB$5:$AB$300,ROWS($A$7:A148)),タスク!$AB$5:$AB$300,0))),"")</f>
        <v/>
      </c>
      <c r="J148" s="53" t="str">
        <f>IFERROR(IF(SMALL(タスク!$AB$5:$AB$300,ROWS($A$7:A148))&gt;=1000000000000,"",INDEX(タスク!J$5:J$300,MATCH(SMALL(タスク!$AB$5:$AB$300,ROWS($A$7:A148)),タスク!$AB$5:$AB$300,0))),"")</f>
        <v/>
      </c>
    </row>
    <row r="149" spans="1:10">
      <c r="A149" s="53" t="str">
        <f>IFERROR(IF(SMALL(タスク!$AB$5:$AB$300,ROWS($A$7:A149))&gt;=1000000000000,"",INDEX(タスク!A$5:A$300,MATCH(SMALL(タスク!$AB$5:$AB$300,ROWS($A$7:A149)),タスク!$AB$5:$AB$300,0))),"")</f>
        <v/>
      </c>
      <c r="B149" s="53" t="str">
        <f>IFERROR(IF(SMALL(タスク!$AB$5:$AB$300,ROWS($A$7:A149))&gt;=1000000000000,"",INDEX(タスク!B$5:B$300,MATCH(SMALL(タスク!$AB$5:$AB$300,ROWS($A$7:A149)),タスク!$AB$5:$AB$300,0))),"")</f>
        <v/>
      </c>
      <c r="C149" s="53" t="str">
        <f>IFERROR(IF(SMALL(タスク!$AB$5:$AB$300,ROWS($A$7:A149))&gt;=1000000000000,"",INDEX(タスク!C$5:C$300,MATCH(SMALL(タスク!$AB$5:$AB$300,ROWS($A$7:A149)),タスク!$AB$5:$AB$300,0))),"")</f>
        <v/>
      </c>
      <c r="D149" s="53" t="str">
        <f>IFERROR(IF(SMALL(タスク!$AB$5:$AB$300,ROWS($A$7:A149))&gt;=1000000000000,"",INDEX(タスク!D$5:D$300,MATCH(SMALL(タスク!$AB$5:$AB$300,ROWS($A$7:A149)),タスク!$AB$5:$AB$300,0))),"")</f>
        <v/>
      </c>
      <c r="E149" s="53" t="str">
        <f>IFERROR(IF(SMALL(タスク!$AB$5:$AB$300,ROWS($A$7:A149))&gt;=1000000000000,"",INDEX(タスク!E$5:E$300,MATCH(SMALL(タスク!$AB$5:$AB$300,ROWS($A$7:A149)),タスク!$AB$5:$AB$300,0))),"")</f>
        <v/>
      </c>
      <c r="F149" s="53" t="str">
        <f>IFERROR(IF(SMALL(タスク!$AB$5:$AB$300,ROWS($A$7:A149))&gt;=1000000000000,"",INDEX(タスク!F$5:F$300,MATCH(SMALL(タスク!$AB$5:$AB$300,ROWS($A$7:A149)),タスク!$AB$5:$AB$300,0))),"")</f>
        <v/>
      </c>
      <c r="G149" s="53" t="str">
        <f>IFERROR(IF(SMALL(タスク!$AB$5:$AB$300,ROWS($A$7:A149))&gt;=1000000000000,"",INDEX(タスク!G$5:G$300,MATCH(SMALL(タスク!$AB$5:$AB$300,ROWS($A$7:A149)),タスク!$AB$5:$AB$300,0))),"")</f>
        <v/>
      </c>
      <c r="H149" s="53" t="str">
        <f>IFERROR(IF(SMALL(タスク!$AB$5:$AB$300,ROWS($A$7:A149))&gt;=1000000000000,"",INDEX(タスク!H$5:H$300,MATCH(SMALL(タスク!$AB$5:$AB$300,ROWS($A$7:A149)),タスク!$AB$5:$AB$300,0))),"")</f>
        <v/>
      </c>
      <c r="I149" s="53" t="str">
        <f>IFERROR(IF(SMALL(タスク!$AB$5:$AB$300,ROWS($A$7:A149))&gt;=1000000000000,"",INDEX(タスク!I$5:I$300,MATCH(SMALL(タスク!$AB$5:$AB$300,ROWS($A$7:A149)),タスク!$AB$5:$AB$300,0))),"")</f>
        <v/>
      </c>
      <c r="J149" s="53" t="str">
        <f>IFERROR(IF(SMALL(タスク!$AB$5:$AB$300,ROWS($A$7:A149))&gt;=1000000000000,"",INDEX(タスク!J$5:J$300,MATCH(SMALL(タスク!$AB$5:$AB$300,ROWS($A$7:A149)),タスク!$AB$5:$AB$300,0))),"")</f>
        <v/>
      </c>
    </row>
    <row r="150" spans="1:10">
      <c r="A150" s="53" t="str">
        <f>IFERROR(IF(SMALL(タスク!$AB$5:$AB$300,ROWS($A$7:A150))&gt;=1000000000000,"",INDEX(タスク!A$5:A$300,MATCH(SMALL(タスク!$AB$5:$AB$300,ROWS($A$7:A150)),タスク!$AB$5:$AB$300,0))),"")</f>
        <v/>
      </c>
      <c r="B150" s="53" t="str">
        <f>IFERROR(IF(SMALL(タスク!$AB$5:$AB$300,ROWS($A$7:A150))&gt;=1000000000000,"",INDEX(タスク!B$5:B$300,MATCH(SMALL(タスク!$AB$5:$AB$300,ROWS($A$7:A150)),タスク!$AB$5:$AB$300,0))),"")</f>
        <v/>
      </c>
      <c r="C150" s="53" t="str">
        <f>IFERROR(IF(SMALL(タスク!$AB$5:$AB$300,ROWS($A$7:A150))&gt;=1000000000000,"",INDEX(タスク!C$5:C$300,MATCH(SMALL(タスク!$AB$5:$AB$300,ROWS($A$7:A150)),タスク!$AB$5:$AB$300,0))),"")</f>
        <v/>
      </c>
      <c r="D150" s="53" t="str">
        <f>IFERROR(IF(SMALL(タスク!$AB$5:$AB$300,ROWS($A$7:A150))&gt;=1000000000000,"",INDEX(タスク!D$5:D$300,MATCH(SMALL(タスク!$AB$5:$AB$300,ROWS($A$7:A150)),タスク!$AB$5:$AB$300,0))),"")</f>
        <v/>
      </c>
      <c r="E150" s="53" t="str">
        <f>IFERROR(IF(SMALL(タスク!$AB$5:$AB$300,ROWS($A$7:A150))&gt;=1000000000000,"",INDEX(タスク!E$5:E$300,MATCH(SMALL(タスク!$AB$5:$AB$300,ROWS($A$7:A150)),タスク!$AB$5:$AB$300,0))),"")</f>
        <v/>
      </c>
      <c r="F150" s="53" t="str">
        <f>IFERROR(IF(SMALL(タスク!$AB$5:$AB$300,ROWS($A$7:A150))&gt;=1000000000000,"",INDEX(タスク!F$5:F$300,MATCH(SMALL(タスク!$AB$5:$AB$300,ROWS($A$7:A150)),タスク!$AB$5:$AB$300,0))),"")</f>
        <v/>
      </c>
      <c r="G150" s="53" t="str">
        <f>IFERROR(IF(SMALL(タスク!$AB$5:$AB$300,ROWS($A$7:A150))&gt;=1000000000000,"",INDEX(タスク!G$5:G$300,MATCH(SMALL(タスク!$AB$5:$AB$300,ROWS($A$7:A150)),タスク!$AB$5:$AB$300,0))),"")</f>
        <v/>
      </c>
      <c r="H150" s="53" t="str">
        <f>IFERROR(IF(SMALL(タスク!$AB$5:$AB$300,ROWS($A$7:A150))&gt;=1000000000000,"",INDEX(タスク!H$5:H$300,MATCH(SMALL(タスク!$AB$5:$AB$300,ROWS($A$7:A150)),タスク!$AB$5:$AB$300,0))),"")</f>
        <v/>
      </c>
      <c r="I150" s="53" t="str">
        <f>IFERROR(IF(SMALL(タスク!$AB$5:$AB$300,ROWS($A$7:A150))&gt;=1000000000000,"",INDEX(タスク!I$5:I$300,MATCH(SMALL(タスク!$AB$5:$AB$300,ROWS($A$7:A150)),タスク!$AB$5:$AB$300,0))),"")</f>
        <v/>
      </c>
      <c r="J150" s="53" t="str">
        <f>IFERROR(IF(SMALL(タスク!$AB$5:$AB$300,ROWS($A$7:A150))&gt;=1000000000000,"",INDEX(タスク!J$5:J$300,MATCH(SMALL(タスク!$AB$5:$AB$300,ROWS($A$7:A150)),タスク!$AB$5:$AB$300,0))),"")</f>
        <v/>
      </c>
    </row>
    <row r="151" spans="1:10">
      <c r="A151" s="53" t="str">
        <f>IFERROR(IF(SMALL(タスク!$AB$5:$AB$300,ROWS($A$7:A151))&gt;=1000000000000,"",INDEX(タスク!A$5:A$300,MATCH(SMALL(タスク!$AB$5:$AB$300,ROWS($A$7:A151)),タスク!$AB$5:$AB$300,0))),"")</f>
        <v/>
      </c>
      <c r="B151" s="53" t="str">
        <f>IFERROR(IF(SMALL(タスク!$AB$5:$AB$300,ROWS($A$7:A151))&gt;=1000000000000,"",INDEX(タスク!B$5:B$300,MATCH(SMALL(タスク!$AB$5:$AB$300,ROWS($A$7:A151)),タスク!$AB$5:$AB$300,0))),"")</f>
        <v/>
      </c>
      <c r="C151" s="53" t="str">
        <f>IFERROR(IF(SMALL(タスク!$AB$5:$AB$300,ROWS($A$7:A151))&gt;=1000000000000,"",INDEX(タスク!C$5:C$300,MATCH(SMALL(タスク!$AB$5:$AB$300,ROWS($A$7:A151)),タスク!$AB$5:$AB$300,0))),"")</f>
        <v/>
      </c>
      <c r="D151" s="53" t="str">
        <f>IFERROR(IF(SMALL(タスク!$AB$5:$AB$300,ROWS($A$7:A151))&gt;=1000000000000,"",INDEX(タスク!D$5:D$300,MATCH(SMALL(タスク!$AB$5:$AB$300,ROWS($A$7:A151)),タスク!$AB$5:$AB$300,0))),"")</f>
        <v/>
      </c>
      <c r="E151" s="53" t="str">
        <f>IFERROR(IF(SMALL(タスク!$AB$5:$AB$300,ROWS($A$7:A151))&gt;=1000000000000,"",INDEX(タスク!E$5:E$300,MATCH(SMALL(タスク!$AB$5:$AB$300,ROWS($A$7:A151)),タスク!$AB$5:$AB$300,0))),"")</f>
        <v/>
      </c>
      <c r="F151" s="53" t="str">
        <f>IFERROR(IF(SMALL(タスク!$AB$5:$AB$300,ROWS($A$7:A151))&gt;=1000000000000,"",INDEX(タスク!F$5:F$300,MATCH(SMALL(タスク!$AB$5:$AB$300,ROWS($A$7:A151)),タスク!$AB$5:$AB$300,0))),"")</f>
        <v/>
      </c>
      <c r="G151" s="53" t="str">
        <f>IFERROR(IF(SMALL(タスク!$AB$5:$AB$300,ROWS($A$7:A151))&gt;=1000000000000,"",INDEX(タスク!G$5:G$300,MATCH(SMALL(タスク!$AB$5:$AB$300,ROWS($A$7:A151)),タスク!$AB$5:$AB$300,0))),"")</f>
        <v/>
      </c>
      <c r="H151" s="53" t="str">
        <f>IFERROR(IF(SMALL(タスク!$AB$5:$AB$300,ROWS($A$7:A151))&gt;=1000000000000,"",INDEX(タスク!H$5:H$300,MATCH(SMALL(タスク!$AB$5:$AB$300,ROWS($A$7:A151)),タスク!$AB$5:$AB$300,0))),"")</f>
        <v/>
      </c>
      <c r="I151" s="53" t="str">
        <f>IFERROR(IF(SMALL(タスク!$AB$5:$AB$300,ROWS($A$7:A151))&gt;=1000000000000,"",INDEX(タスク!I$5:I$300,MATCH(SMALL(タスク!$AB$5:$AB$300,ROWS($A$7:A151)),タスク!$AB$5:$AB$300,0))),"")</f>
        <v/>
      </c>
      <c r="J151" s="53" t="str">
        <f>IFERROR(IF(SMALL(タスク!$AB$5:$AB$300,ROWS($A$7:A151))&gt;=1000000000000,"",INDEX(タスク!J$5:J$300,MATCH(SMALL(タスク!$AB$5:$AB$300,ROWS($A$7:A151)),タスク!$AB$5:$AB$300,0))),"")</f>
        <v/>
      </c>
    </row>
    <row r="152" spans="1:10">
      <c r="A152" s="53" t="str">
        <f>IFERROR(IF(SMALL(タスク!$AB$5:$AB$300,ROWS($A$7:A152))&gt;=1000000000000,"",INDEX(タスク!A$5:A$300,MATCH(SMALL(タスク!$AB$5:$AB$300,ROWS($A$7:A152)),タスク!$AB$5:$AB$300,0))),"")</f>
        <v/>
      </c>
      <c r="B152" s="53" t="str">
        <f>IFERROR(IF(SMALL(タスク!$AB$5:$AB$300,ROWS($A$7:A152))&gt;=1000000000000,"",INDEX(タスク!B$5:B$300,MATCH(SMALL(タスク!$AB$5:$AB$300,ROWS($A$7:A152)),タスク!$AB$5:$AB$300,0))),"")</f>
        <v/>
      </c>
      <c r="C152" s="53" t="str">
        <f>IFERROR(IF(SMALL(タスク!$AB$5:$AB$300,ROWS($A$7:A152))&gt;=1000000000000,"",INDEX(タスク!C$5:C$300,MATCH(SMALL(タスク!$AB$5:$AB$300,ROWS($A$7:A152)),タスク!$AB$5:$AB$300,0))),"")</f>
        <v/>
      </c>
      <c r="D152" s="53" t="str">
        <f>IFERROR(IF(SMALL(タスク!$AB$5:$AB$300,ROWS($A$7:A152))&gt;=1000000000000,"",INDEX(タスク!D$5:D$300,MATCH(SMALL(タスク!$AB$5:$AB$300,ROWS($A$7:A152)),タスク!$AB$5:$AB$300,0))),"")</f>
        <v/>
      </c>
      <c r="E152" s="53" t="str">
        <f>IFERROR(IF(SMALL(タスク!$AB$5:$AB$300,ROWS($A$7:A152))&gt;=1000000000000,"",INDEX(タスク!E$5:E$300,MATCH(SMALL(タスク!$AB$5:$AB$300,ROWS($A$7:A152)),タスク!$AB$5:$AB$300,0))),"")</f>
        <v/>
      </c>
      <c r="F152" s="53" t="str">
        <f>IFERROR(IF(SMALL(タスク!$AB$5:$AB$300,ROWS($A$7:A152))&gt;=1000000000000,"",INDEX(タスク!F$5:F$300,MATCH(SMALL(タスク!$AB$5:$AB$300,ROWS($A$7:A152)),タスク!$AB$5:$AB$300,0))),"")</f>
        <v/>
      </c>
      <c r="G152" s="53" t="str">
        <f>IFERROR(IF(SMALL(タスク!$AB$5:$AB$300,ROWS($A$7:A152))&gt;=1000000000000,"",INDEX(タスク!G$5:G$300,MATCH(SMALL(タスク!$AB$5:$AB$300,ROWS($A$7:A152)),タスク!$AB$5:$AB$300,0))),"")</f>
        <v/>
      </c>
      <c r="H152" s="53" t="str">
        <f>IFERROR(IF(SMALL(タスク!$AB$5:$AB$300,ROWS($A$7:A152))&gt;=1000000000000,"",INDEX(タスク!H$5:H$300,MATCH(SMALL(タスク!$AB$5:$AB$300,ROWS($A$7:A152)),タスク!$AB$5:$AB$300,0))),"")</f>
        <v/>
      </c>
      <c r="I152" s="53" t="str">
        <f>IFERROR(IF(SMALL(タスク!$AB$5:$AB$300,ROWS($A$7:A152))&gt;=1000000000000,"",INDEX(タスク!I$5:I$300,MATCH(SMALL(タスク!$AB$5:$AB$300,ROWS($A$7:A152)),タスク!$AB$5:$AB$300,0))),"")</f>
        <v/>
      </c>
      <c r="J152" s="53" t="str">
        <f>IFERROR(IF(SMALL(タスク!$AB$5:$AB$300,ROWS($A$7:A152))&gt;=1000000000000,"",INDEX(タスク!J$5:J$300,MATCH(SMALL(タスク!$AB$5:$AB$300,ROWS($A$7:A152)),タスク!$AB$5:$AB$300,0))),"")</f>
        <v/>
      </c>
    </row>
    <row r="153" spans="1:10">
      <c r="A153" s="53" t="str">
        <f>IFERROR(IF(SMALL(タスク!$AB$5:$AB$300,ROWS($A$7:A153))&gt;=1000000000000,"",INDEX(タスク!A$5:A$300,MATCH(SMALL(タスク!$AB$5:$AB$300,ROWS($A$7:A153)),タスク!$AB$5:$AB$300,0))),"")</f>
        <v/>
      </c>
      <c r="B153" s="53" t="str">
        <f>IFERROR(IF(SMALL(タスク!$AB$5:$AB$300,ROWS($A$7:A153))&gt;=1000000000000,"",INDEX(タスク!B$5:B$300,MATCH(SMALL(タスク!$AB$5:$AB$300,ROWS($A$7:A153)),タスク!$AB$5:$AB$300,0))),"")</f>
        <v/>
      </c>
      <c r="C153" s="53" t="str">
        <f>IFERROR(IF(SMALL(タスク!$AB$5:$AB$300,ROWS($A$7:A153))&gt;=1000000000000,"",INDEX(タスク!C$5:C$300,MATCH(SMALL(タスク!$AB$5:$AB$300,ROWS($A$7:A153)),タスク!$AB$5:$AB$300,0))),"")</f>
        <v/>
      </c>
      <c r="D153" s="53" t="str">
        <f>IFERROR(IF(SMALL(タスク!$AB$5:$AB$300,ROWS($A$7:A153))&gt;=1000000000000,"",INDEX(タスク!D$5:D$300,MATCH(SMALL(タスク!$AB$5:$AB$300,ROWS($A$7:A153)),タスク!$AB$5:$AB$300,0))),"")</f>
        <v/>
      </c>
      <c r="E153" s="53" t="str">
        <f>IFERROR(IF(SMALL(タスク!$AB$5:$AB$300,ROWS($A$7:A153))&gt;=1000000000000,"",INDEX(タスク!E$5:E$300,MATCH(SMALL(タスク!$AB$5:$AB$300,ROWS($A$7:A153)),タスク!$AB$5:$AB$300,0))),"")</f>
        <v/>
      </c>
      <c r="F153" s="53" t="str">
        <f>IFERROR(IF(SMALL(タスク!$AB$5:$AB$300,ROWS($A$7:A153))&gt;=1000000000000,"",INDEX(タスク!F$5:F$300,MATCH(SMALL(タスク!$AB$5:$AB$300,ROWS($A$7:A153)),タスク!$AB$5:$AB$300,0))),"")</f>
        <v/>
      </c>
      <c r="G153" s="53" t="str">
        <f>IFERROR(IF(SMALL(タスク!$AB$5:$AB$300,ROWS($A$7:A153))&gt;=1000000000000,"",INDEX(タスク!G$5:G$300,MATCH(SMALL(タスク!$AB$5:$AB$300,ROWS($A$7:A153)),タスク!$AB$5:$AB$300,0))),"")</f>
        <v/>
      </c>
      <c r="H153" s="53" t="str">
        <f>IFERROR(IF(SMALL(タスク!$AB$5:$AB$300,ROWS($A$7:A153))&gt;=1000000000000,"",INDEX(タスク!H$5:H$300,MATCH(SMALL(タスク!$AB$5:$AB$300,ROWS($A$7:A153)),タスク!$AB$5:$AB$300,0))),"")</f>
        <v/>
      </c>
      <c r="I153" s="53" t="str">
        <f>IFERROR(IF(SMALL(タスク!$AB$5:$AB$300,ROWS($A$7:A153))&gt;=1000000000000,"",INDEX(タスク!I$5:I$300,MATCH(SMALL(タスク!$AB$5:$AB$300,ROWS($A$7:A153)),タスク!$AB$5:$AB$300,0))),"")</f>
        <v/>
      </c>
      <c r="J153" s="53" t="str">
        <f>IFERROR(IF(SMALL(タスク!$AB$5:$AB$300,ROWS($A$7:A153))&gt;=1000000000000,"",INDEX(タスク!J$5:J$300,MATCH(SMALL(タスク!$AB$5:$AB$300,ROWS($A$7:A153)),タスク!$AB$5:$AB$300,0))),"")</f>
        <v/>
      </c>
    </row>
    <row r="154" spans="1:10">
      <c r="A154" s="53" t="str">
        <f>IFERROR(IF(SMALL(タスク!$AB$5:$AB$300,ROWS($A$7:A154))&gt;=1000000000000,"",INDEX(タスク!A$5:A$300,MATCH(SMALL(タスク!$AB$5:$AB$300,ROWS($A$7:A154)),タスク!$AB$5:$AB$300,0))),"")</f>
        <v/>
      </c>
      <c r="B154" s="53" t="str">
        <f>IFERROR(IF(SMALL(タスク!$AB$5:$AB$300,ROWS($A$7:A154))&gt;=1000000000000,"",INDEX(タスク!B$5:B$300,MATCH(SMALL(タスク!$AB$5:$AB$300,ROWS($A$7:A154)),タスク!$AB$5:$AB$300,0))),"")</f>
        <v/>
      </c>
      <c r="C154" s="53" t="str">
        <f>IFERROR(IF(SMALL(タスク!$AB$5:$AB$300,ROWS($A$7:A154))&gt;=1000000000000,"",INDEX(タスク!C$5:C$300,MATCH(SMALL(タスク!$AB$5:$AB$300,ROWS($A$7:A154)),タスク!$AB$5:$AB$300,0))),"")</f>
        <v/>
      </c>
      <c r="D154" s="53" t="str">
        <f>IFERROR(IF(SMALL(タスク!$AB$5:$AB$300,ROWS($A$7:A154))&gt;=1000000000000,"",INDEX(タスク!D$5:D$300,MATCH(SMALL(タスク!$AB$5:$AB$300,ROWS($A$7:A154)),タスク!$AB$5:$AB$300,0))),"")</f>
        <v/>
      </c>
      <c r="E154" s="53" t="str">
        <f>IFERROR(IF(SMALL(タスク!$AB$5:$AB$300,ROWS($A$7:A154))&gt;=1000000000000,"",INDEX(タスク!E$5:E$300,MATCH(SMALL(タスク!$AB$5:$AB$300,ROWS($A$7:A154)),タスク!$AB$5:$AB$300,0))),"")</f>
        <v/>
      </c>
      <c r="F154" s="53" t="str">
        <f>IFERROR(IF(SMALL(タスク!$AB$5:$AB$300,ROWS($A$7:A154))&gt;=1000000000000,"",INDEX(タスク!F$5:F$300,MATCH(SMALL(タスク!$AB$5:$AB$300,ROWS($A$7:A154)),タスク!$AB$5:$AB$300,0))),"")</f>
        <v/>
      </c>
      <c r="G154" s="53" t="str">
        <f>IFERROR(IF(SMALL(タスク!$AB$5:$AB$300,ROWS($A$7:A154))&gt;=1000000000000,"",INDEX(タスク!G$5:G$300,MATCH(SMALL(タスク!$AB$5:$AB$300,ROWS($A$7:A154)),タスク!$AB$5:$AB$300,0))),"")</f>
        <v/>
      </c>
      <c r="H154" s="53" t="str">
        <f>IFERROR(IF(SMALL(タスク!$AB$5:$AB$300,ROWS($A$7:A154))&gt;=1000000000000,"",INDEX(タスク!H$5:H$300,MATCH(SMALL(タスク!$AB$5:$AB$300,ROWS($A$7:A154)),タスク!$AB$5:$AB$300,0))),"")</f>
        <v/>
      </c>
      <c r="I154" s="53" t="str">
        <f>IFERROR(IF(SMALL(タスク!$AB$5:$AB$300,ROWS($A$7:A154))&gt;=1000000000000,"",INDEX(タスク!I$5:I$300,MATCH(SMALL(タスク!$AB$5:$AB$300,ROWS($A$7:A154)),タスク!$AB$5:$AB$300,0))),"")</f>
        <v/>
      </c>
      <c r="J154" s="53" t="str">
        <f>IFERROR(IF(SMALL(タスク!$AB$5:$AB$300,ROWS($A$7:A154))&gt;=1000000000000,"",INDEX(タスク!J$5:J$300,MATCH(SMALL(タスク!$AB$5:$AB$300,ROWS($A$7:A154)),タスク!$AB$5:$AB$300,0))),"")</f>
        <v/>
      </c>
    </row>
    <row r="155" spans="1:10">
      <c r="A155" s="53" t="str">
        <f>IFERROR(IF(SMALL(タスク!$AB$5:$AB$300,ROWS($A$7:A155))&gt;=1000000000000,"",INDEX(タスク!A$5:A$300,MATCH(SMALL(タスク!$AB$5:$AB$300,ROWS($A$7:A155)),タスク!$AB$5:$AB$300,0))),"")</f>
        <v/>
      </c>
      <c r="B155" s="53" t="str">
        <f>IFERROR(IF(SMALL(タスク!$AB$5:$AB$300,ROWS($A$7:A155))&gt;=1000000000000,"",INDEX(タスク!B$5:B$300,MATCH(SMALL(タスク!$AB$5:$AB$300,ROWS($A$7:A155)),タスク!$AB$5:$AB$300,0))),"")</f>
        <v/>
      </c>
      <c r="C155" s="53" t="str">
        <f>IFERROR(IF(SMALL(タスク!$AB$5:$AB$300,ROWS($A$7:A155))&gt;=1000000000000,"",INDEX(タスク!C$5:C$300,MATCH(SMALL(タスク!$AB$5:$AB$300,ROWS($A$7:A155)),タスク!$AB$5:$AB$300,0))),"")</f>
        <v/>
      </c>
      <c r="D155" s="53" t="str">
        <f>IFERROR(IF(SMALL(タスク!$AB$5:$AB$300,ROWS($A$7:A155))&gt;=1000000000000,"",INDEX(タスク!D$5:D$300,MATCH(SMALL(タスク!$AB$5:$AB$300,ROWS($A$7:A155)),タスク!$AB$5:$AB$300,0))),"")</f>
        <v/>
      </c>
      <c r="E155" s="53" t="str">
        <f>IFERROR(IF(SMALL(タスク!$AB$5:$AB$300,ROWS($A$7:A155))&gt;=1000000000000,"",INDEX(タスク!E$5:E$300,MATCH(SMALL(タスク!$AB$5:$AB$300,ROWS($A$7:A155)),タスク!$AB$5:$AB$300,0))),"")</f>
        <v/>
      </c>
      <c r="F155" s="53" t="str">
        <f>IFERROR(IF(SMALL(タスク!$AB$5:$AB$300,ROWS($A$7:A155))&gt;=1000000000000,"",INDEX(タスク!F$5:F$300,MATCH(SMALL(タスク!$AB$5:$AB$300,ROWS($A$7:A155)),タスク!$AB$5:$AB$300,0))),"")</f>
        <v/>
      </c>
      <c r="G155" s="53" t="str">
        <f>IFERROR(IF(SMALL(タスク!$AB$5:$AB$300,ROWS($A$7:A155))&gt;=1000000000000,"",INDEX(タスク!G$5:G$300,MATCH(SMALL(タスク!$AB$5:$AB$300,ROWS($A$7:A155)),タスク!$AB$5:$AB$300,0))),"")</f>
        <v/>
      </c>
      <c r="H155" s="53" t="str">
        <f>IFERROR(IF(SMALL(タスク!$AB$5:$AB$300,ROWS($A$7:A155))&gt;=1000000000000,"",INDEX(タスク!H$5:H$300,MATCH(SMALL(タスク!$AB$5:$AB$300,ROWS($A$7:A155)),タスク!$AB$5:$AB$300,0))),"")</f>
        <v/>
      </c>
      <c r="I155" s="53" t="str">
        <f>IFERROR(IF(SMALL(タスク!$AB$5:$AB$300,ROWS($A$7:A155))&gt;=1000000000000,"",INDEX(タスク!I$5:I$300,MATCH(SMALL(タスク!$AB$5:$AB$300,ROWS($A$7:A155)),タスク!$AB$5:$AB$300,0))),"")</f>
        <v/>
      </c>
      <c r="J155" s="53" t="str">
        <f>IFERROR(IF(SMALL(タスク!$AB$5:$AB$300,ROWS($A$7:A155))&gt;=1000000000000,"",INDEX(タスク!J$5:J$300,MATCH(SMALL(タスク!$AB$5:$AB$300,ROWS($A$7:A155)),タスク!$AB$5:$AB$300,0))),"")</f>
        <v/>
      </c>
    </row>
    <row r="156" spans="1:10">
      <c r="A156" s="53" t="str">
        <f>IFERROR(IF(SMALL(タスク!$AB$5:$AB$300,ROWS($A$7:A156))&gt;=1000000000000,"",INDEX(タスク!A$5:A$300,MATCH(SMALL(タスク!$AB$5:$AB$300,ROWS($A$7:A156)),タスク!$AB$5:$AB$300,0))),"")</f>
        <v/>
      </c>
      <c r="B156" s="53" t="str">
        <f>IFERROR(IF(SMALL(タスク!$AB$5:$AB$300,ROWS($A$7:A156))&gt;=1000000000000,"",INDEX(タスク!B$5:B$300,MATCH(SMALL(タスク!$AB$5:$AB$300,ROWS($A$7:A156)),タスク!$AB$5:$AB$300,0))),"")</f>
        <v/>
      </c>
      <c r="C156" s="53" t="str">
        <f>IFERROR(IF(SMALL(タスク!$AB$5:$AB$300,ROWS($A$7:A156))&gt;=1000000000000,"",INDEX(タスク!C$5:C$300,MATCH(SMALL(タスク!$AB$5:$AB$300,ROWS($A$7:A156)),タスク!$AB$5:$AB$300,0))),"")</f>
        <v/>
      </c>
      <c r="D156" s="53" t="str">
        <f>IFERROR(IF(SMALL(タスク!$AB$5:$AB$300,ROWS($A$7:A156))&gt;=1000000000000,"",INDEX(タスク!D$5:D$300,MATCH(SMALL(タスク!$AB$5:$AB$300,ROWS($A$7:A156)),タスク!$AB$5:$AB$300,0))),"")</f>
        <v/>
      </c>
      <c r="E156" s="53" t="str">
        <f>IFERROR(IF(SMALL(タスク!$AB$5:$AB$300,ROWS($A$7:A156))&gt;=1000000000000,"",INDEX(タスク!E$5:E$300,MATCH(SMALL(タスク!$AB$5:$AB$300,ROWS($A$7:A156)),タスク!$AB$5:$AB$300,0))),"")</f>
        <v/>
      </c>
      <c r="F156" s="53" t="str">
        <f>IFERROR(IF(SMALL(タスク!$AB$5:$AB$300,ROWS($A$7:A156))&gt;=1000000000000,"",INDEX(タスク!F$5:F$300,MATCH(SMALL(タスク!$AB$5:$AB$300,ROWS($A$7:A156)),タスク!$AB$5:$AB$300,0))),"")</f>
        <v/>
      </c>
      <c r="G156" s="53" t="str">
        <f>IFERROR(IF(SMALL(タスク!$AB$5:$AB$300,ROWS($A$7:A156))&gt;=1000000000000,"",INDEX(タスク!G$5:G$300,MATCH(SMALL(タスク!$AB$5:$AB$300,ROWS($A$7:A156)),タスク!$AB$5:$AB$300,0))),"")</f>
        <v/>
      </c>
      <c r="H156" s="53" t="str">
        <f>IFERROR(IF(SMALL(タスク!$AB$5:$AB$300,ROWS($A$7:A156))&gt;=1000000000000,"",INDEX(タスク!H$5:H$300,MATCH(SMALL(タスク!$AB$5:$AB$300,ROWS($A$7:A156)),タスク!$AB$5:$AB$300,0))),"")</f>
        <v/>
      </c>
      <c r="I156" s="53" t="str">
        <f>IFERROR(IF(SMALL(タスク!$AB$5:$AB$300,ROWS($A$7:A156))&gt;=1000000000000,"",INDEX(タスク!I$5:I$300,MATCH(SMALL(タスク!$AB$5:$AB$300,ROWS($A$7:A156)),タスク!$AB$5:$AB$300,0))),"")</f>
        <v/>
      </c>
      <c r="J156" s="53" t="str">
        <f>IFERROR(IF(SMALL(タスク!$AB$5:$AB$300,ROWS($A$7:A156))&gt;=1000000000000,"",INDEX(タスク!J$5:J$300,MATCH(SMALL(タスク!$AB$5:$AB$300,ROWS($A$7:A156)),タスク!$AB$5:$AB$300,0))),"")</f>
        <v/>
      </c>
    </row>
    <row r="157" spans="1:10">
      <c r="A157" s="53" t="str">
        <f>IFERROR(IF(SMALL(タスク!$AB$5:$AB$300,ROWS($A$7:A157))&gt;=1000000000000,"",INDEX(タスク!A$5:A$300,MATCH(SMALL(タスク!$AB$5:$AB$300,ROWS($A$7:A157)),タスク!$AB$5:$AB$300,0))),"")</f>
        <v/>
      </c>
      <c r="B157" s="53" t="str">
        <f>IFERROR(IF(SMALL(タスク!$AB$5:$AB$300,ROWS($A$7:A157))&gt;=1000000000000,"",INDEX(タスク!B$5:B$300,MATCH(SMALL(タスク!$AB$5:$AB$300,ROWS($A$7:A157)),タスク!$AB$5:$AB$300,0))),"")</f>
        <v/>
      </c>
      <c r="C157" s="53" t="str">
        <f>IFERROR(IF(SMALL(タスク!$AB$5:$AB$300,ROWS($A$7:A157))&gt;=1000000000000,"",INDEX(タスク!C$5:C$300,MATCH(SMALL(タスク!$AB$5:$AB$300,ROWS($A$7:A157)),タスク!$AB$5:$AB$300,0))),"")</f>
        <v/>
      </c>
      <c r="D157" s="53" t="str">
        <f>IFERROR(IF(SMALL(タスク!$AB$5:$AB$300,ROWS($A$7:A157))&gt;=1000000000000,"",INDEX(タスク!D$5:D$300,MATCH(SMALL(タスク!$AB$5:$AB$300,ROWS($A$7:A157)),タスク!$AB$5:$AB$300,0))),"")</f>
        <v/>
      </c>
      <c r="E157" s="53" t="str">
        <f>IFERROR(IF(SMALL(タスク!$AB$5:$AB$300,ROWS($A$7:A157))&gt;=1000000000000,"",INDEX(タスク!E$5:E$300,MATCH(SMALL(タスク!$AB$5:$AB$300,ROWS($A$7:A157)),タスク!$AB$5:$AB$300,0))),"")</f>
        <v/>
      </c>
      <c r="F157" s="53" t="str">
        <f>IFERROR(IF(SMALL(タスク!$AB$5:$AB$300,ROWS($A$7:A157))&gt;=1000000000000,"",INDEX(タスク!F$5:F$300,MATCH(SMALL(タスク!$AB$5:$AB$300,ROWS($A$7:A157)),タスク!$AB$5:$AB$300,0))),"")</f>
        <v/>
      </c>
      <c r="G157" s="53" t="str">
        <f>IFERROR(IF(SMALL(タスク!$AB$5:$AB$300,ROWS($A$7:A157))&gt;=1000000000000,"",INDEX(タスク!G$5:G$300,MATCH(SMALL(タスク!$AB$5:$AB$300,ROWS($A$7:A157)),タスク!$AB$5:$AB$300,0))),"")</f>
        <v/>
      </c>
      <c r="H157" s="53" t="str">
        <f>IFERROR(IF(SMALL(タスク!$AB$5:$AB$300,ROWS($A$7:A157))&gt;=1000000000000,"",INDEX(タスク!H$5:H$300,MATCH(SMALL(タスク!$AB$5:$AB$300,ROWS($A$7:A157)),タスク!$AB$5:$AB$300,0))),"")</f>
        <v/>
      </c>
      <c r="I157" s="53" t="str">
        <f>IFERROR(IF(SMALL(タスク!$AB$5:$AB$300,ROWS($A$7:A157))&gt;=1000000000000,"",INDEX(タスク!I$5:I$300,MATCH(SMALL(タスク!$AB$5:$AB$300,ROWS($A$7:A157)),タスク!$AB$5:$AB$300,0))),"")</f>
        <v/>
      </c>
      <c r="J157" s="53" t="str">
        <f>IFERROR(IF(SMALL(タスク!$AB$5:$AB$300,ROWS($A$7:A157))&gt;=1000000000000,"",INDEX(タスク!J$5:J$300,MATCH(SMALL(タスク!$AB$5:$AB$300,ROWS($A$7:A157)),タスク!$AB$5:$AB$300,0))),"")</f>
        <v/>
      </c>
    </row>
    <row r="158" spans="1:10">
      <c r="A158" s="53" t="str">
        <f>IFERROR(IF(SMALL(タスク!$AB$5:$AB$300,ROWS($A$7:A158))&gt;=1000000000000,"",INDEX(タスク!A$5:A$300,MATCH(SMALL(タスク!$AB$5:$AB$300,ROWS($A$7:A158)),タスク!$AB$5:$AB$300,0))),"")</f>
        <v/>
      </c>
      <c r="B158" s="53" t="str">
        <f>IFERROR(IF(SMALL(タスク!$AB$5:$AB$300,ROWS($A$7:A158))&gt;=1000000000000,"",INDEX(タスク!B$5:B$300,MATCH(SMALL(タスク!$AB$5:$AB$300,ROWS($A$7:A158)),タスク!$AB$5:$AB$300,0))),"")</f>
        <v/>
      </c>
      <c r="C158" s="53" t="str">
        <f>IFERROR(IF(SMALL(タスク!$AB$5:$AB$300,ROWS($A$7:A158))&gt;=1000000000000,"",INDEX(タスク!C$5:C$300,MATCH(SMALL(タスク!$AB$5:$AB$300,ROWS($A$7:A158)),タスク!$AB$5:$AB$300,0))),"")</f>
        <v/>
      </c>
      <c r="D158" s="53" t="str">
        <f>IFERROR(IF(SMALL(タスク!$AB$5:$AB$300,ROWS($A$7:A158))&gt;=1000000000000,"",INDEX(タスク!D$5:D$300,MATCH(SMALL(タスク!$AB$5:$AB$300,ROWS($A$7:A158)),タスク!$AB$5:$AB$300,0))),"")</f>
        <v/>
      </c>
      <c r="E158" s="53" t="str">
        <f>IFERROR(IF(SMALL(タスク!$AB$5:$AB$300,ROWS($A$7:A158))&gt;=1000000000000,"",INDEX(タスク!E$5:E$300,MATCH(SMALL(タスク!$AB$5:$AB$300,ROWS($A$7:A158)),タスク!$AB$5:$AB$300,0))),"")</f>
        <v/>
      </c>
      <c r="F158" s="53" t="str">
        <f>IFERROR(IF(SMALL(タスク!$AB$5:$AB$300,ROWS($A$7:A158))&gt;=1000000000000,"",INDEX(タスク!F$5:F$300,MATCH(SMALL(タスク!$AB$5:$AB$300,ROWS($A$7:A158)),タスク!$AB$5:$AB$300,0))),"")</f>
        <v/>
      </c>
      <c r="G158" s="53" t="str">
        <f>IFERROR(IF(SMALL(タスク!$AB$5:$AB$300,ROWS($A$7:A158))&gt;=1000000000000,"",INDEX(タスク!G$5:G$300,MATCH(SMALL(タスク!$AB$5:$AB$300,ROWS($A$7:A158)),タスク!$AB$5:$AB$300,0))),"")</f>
        <v/>
      </c>
      <c r="H158" s="53" t="str">
        <f>IFERROR(IF(SMALL(タスク!$AB$5:$AB$300,ROWS($A$7:A158))&gt;=1000000000000,"",INDEX(タスク!H$5:H$300,MATCH(SMALL(タスク!$AB$5:$AB$300,ROWS($A$7:A158)),タスク!$AB$5:$AB$300,0))),"")</f>
        <v/>
      </c>
      <c r="I158" s="53" t="str">
        <f>IFERROR(IF(SMALL(タスク!$AB$5:$AB$300,ROWS($A$7:A158))&gt;=1000000000000,"",INDEX(タスク!I$5:I$300,MATCH(SMALL(タスク!$AB$5:$AB$300,ROWS($A$7:A158)),タスク!$AB$5:$AB$300,0))),"")</f>
        <v/>
      </c>
      <c r="J158" s="53" t="str">
        <f>IFERROR(IF(SMALL(タスク!$AB$5:$AB$300,ROWS($A$7:A158))&gt;=1000000000000,"",INDEX(タスク!J$5:J$300,MATCH(SMALL(タスク!$AB$5:$AB$300,ROWS($A$7:A158)),タスク!$AB$5:$AB$300,0))),"")</f>
        <v/>
      </c>
    </row>
    <row r="159" spans="1:10">
      <c r="A159" s="53" t="str">
        <f>IFERROR(IF(SMALL(タスク!$AB$5:$AB$300,ROWS($A$7:A159))&gt;=1000000000000,"",INDEX(タスク!A$5:A$300,MATCH(SMALL(タスク!$AB$5:$AB$300,ROWS($A$7:A159)),タスク!$AB$5:$AB$300,0))),"")</f>
        <v/>
      </c>
      <c r="B159" s="53" t="str">
        <f>IFERROR(IF(SMALL(タスク!$AB$5:$AB$300,ROWS($A$7:A159))&gt;=1000000000000,"",INDEX(タスク!B$5:B$300,MATCH(SMALL(タスク!$AB$5:$AB$300,ROWS($A$7:A159)),タスク!$AB$5:$AB$300,0))),"")</f>
        <v/>
      </c>
      <c r="C159" s="53" t="str">
        <f>IFERROR(IF(SMALL(タスク!$AB$5:$AB$300,ROWS($A$7:A159))&gt;=1000000000000,"",INDEX(タスク!C$5:C$300,MATCH(SMALL(タスク!$AB$5:$AB$300,ROWS($A$7:A159)),タスク!$AB$5:$AB$300,0))),"")</f>
        <v/>
      </c>
      <c r="D159" s="53" t="str">
        <f>IFERROR(IF(SMALL(タスク!$AB$5:$AB$300,ROWS($A$7:A159))&gt;=1000000000000,"",INDEX(タスク!D$5:D$300,MATCH(SMALL(タスク!$AB$5:$AB$300,ROWS($A$7:A159)),タスク!$AB$5:$AB$300,0))),"")</f>
        <v/>
      </c>
      <c r="E159" s="53" t="str">
        <f>IFERROR(IF(SMALL(タスク!$AB$5:$AB$300,ROWS($A$7:A159))&gt;=1000000000000,"",INDEX(タスク!E$5:E$300,MATCH(SMALL(タスク!$AB$5:$AB$300,ROWS($A$7:A159)),タスク!$AB$5:$AB$300,0))),"")</f>
        <v/>
      </c>
      <c r="F159" s="53" t="str">
        <f>IFERROR(IF(SMALL(タスク!$AB$5:$AB$300,ROWS($A$7:A159))&gt;=1000000000000,"",INDEX(タスク!F$5:F$300,MATCH(SMALL(タスク!$AB$5:$AB$300,ROWS($A$7:A159)),タスク!$AB$5:$AB$300,0))),"")</f>
        <v/>
      </c>
      <c r="G159" s="53" t="str">
        <f>IFERROR(IF(SMALL(タスク!$AB$5:$AB$300,ROWS($A$7:A159))&gt;=1000000000000,"",INDEX(タスク!G$5:G$300,MATCH(SMALL(タスク!$AB$5:$AB$300,ROWS($A$7:A159)),タスク!$AB$5:$AB$300,0))),"")</f>
        <v/>
      </c>
      <c r="H159" s="53" t="str">
        <f>IFERROR(IF(SMALL(タスク!$AB$5:$AB$300,ROWS($A$7:A159))&gt;=1000000000000,"",INDEX(タスク!H$5:H$300,MATCH(SMALL(タスク!$AB$5:$AB$300,ROWS($A$7:A159)),タスク!$AB$5:$AB$300,0))),"")</f>
        <v/>
      </c>
      <c r="I159" s="53" t="str">
        <f>IFERROR(IF(SMALL(タスク!$AB$5:$AB$300,ROWS($A$7:A159))&gt;=1000000000000,"",INDEX(タスク!I$5:I$300,MATCH(SMALL(タスク!$AB$5:$AB$300,ROWS($A$7:A159)),タスク!$AB$5:$AB$300,0))),"")</f>
        <v/>
      </c>
      <c r="J159" s="53" t="str">
        <f>IFERROR(IF(SMALL(タスク!$AB$5:$AB$300,ROWS($A$7:A159))&gt;=1000000000000,"",INDEX(タスク!J$5:J$300,MATCH(SMALL(タスク!$AB$5:$AB$300,ROWS($A$7:A159)),タスク!$AB$5:$AB$300,0))),"")</f>
        <v/>
      </c>
    </row>
    <row r="160" spans="1:10">
      <c r="A160" s="53" t="str">
        <f>IFERROR(IF(SMALL(タスク!$AB$5:$AB$300,ROWS($A$7:A160))&gt;=1000000000000,"",INDEX(タスク!A$5:A$300,MATCH(SMALL(タスク!$AB$5:$AB$300,ROWS($A$7:A160)),タスク!$AB$5:$AB$300,0))),"")</f>
        <v/>
      </c>
      <c r="B160" s="53" t="str">
        <f>IFERROR(IF(SMALL(タスク!$AB$5:$AB$300,ROWS($A$7:A160))&gt;=1000000000000,"",INDEX(タスク!B$5:B$300,MATCH(SMALL(タスク!$AB$5:$AB$300,ROWS($A$7:A160)),タスク!$AB$5:$AB$300,0))),"")</f>
        <v/>
      </c>
      <c r="C160" s="53" t="str">
        <f>IFERROR(IF(SMALL(タスク!$AB$5:$AB$300,ROWS($A$7:A160))&gt;=1000000000000,"",INDEX(タスク!C$5:C$300,MATCH(SMALL(タスク!$AB$5:$AB$300,ROWS($A$7:A160)),タスク!$AB$5:$AB$300,0))),"")</f>
        <v/>
      </c>
      <c r="D160" s="53" t="str">
        <f>IFERROR(IF(SMALL(タスク!$AB$5:$AB$300,ROWS($A$7:A160))&gt;=1000000000000,"",INDEX(タスク!D$5:D$300,MATCH(SMALL(タスク!$AB$5:$AB$300,ROWS($A$7:A160)),タスク!$AB$5:$AB$300,0))),"")</f>
        <v/>
      </c>
      <c r="E160" s="53" t="str">
        <f>IFERROR(IF(SMALL(タスク!$AB$5:$AB$300,ROWS($A$7:A160))&gt;=1000000000000,"",INDEX(タスク!E$5:E$300,MATCH(SMALL(タスク!$AB$5:$AB$300,ROWS($A$7:A160)),タスク!$AB$5:$AB$300,0))),"")</f>
        <v/>
      </c>
      <c r="F160" s="53" t="str">
        <f>IFERROR(IF(SMALL(タスク!$AB$5:$AB$300,ROWS($A$7:A160))&gt;=1000000000000,"",INDEX(タスク!F$5:F$300,MATCH(SMALL(タスク!$AB$5:$AB$300,ROWS($A$7:A160)),タスク!$AB$5:$AB$300,0))),"")</f>
        <v/>
      </c>
      <c r="G160" s="53" t="str">
        <f>IFERROR(IF(SMALL(タスク!$AB$5:$AB$300,ROWS($A$7:A160))&gt;=1000000000000,"",INDEX(タスク!G$5:G$300,MATCH(SMALL(タスク!$AB$5:$AB$300,ROWS($A$7:A160)),タスク!$AB$5:$AB$300,0))),"")</f>
        <v/>
      </c>
      <c r="H160" s="53" t="str">
        <f>IFERROR(IF(SMALL(タスク!$AB$5:$AB$300,ROWS($A$7:A160))&gt;=1000000000000,"",INDEX(タスク!H$5:H$300,MATCH(SMALL(タスク!$AB$5:$AB$300,ROWS($A$7:A160)),タスク!$AB$5:$AB$300,0))),"")</f>
        <v/>
      </c>
      <c r="I160" s="53" t="str">
        <f>IFERROR(IF(SMALL(タスク!$AB$5:$AB$300,ROWS($A$7:A160))&gt;=1000000000000,"",INDEX(タスク!I$5:I$300,MATCH(SMALL(タスク!$AB$5:$AB$300,ROWS($A$7:A160)),タスク!$AB$5:$AB$300,0))),"")</f>
        <v/>
      </c>
      <c r="J160" s="53" t="str">
        <f>IFERROR(IF(SMALL(タスク!$AB$5:$AB$300,ROWS($A$7:A160))&gt;=1000000000000,"",INDEX(タスク!J$5:J$300,MATCH(SMALL(タスク!$AB$5:$AB$300,ROWS($A$7:A160)),タスク!$AB$5:$AB$300,0))),"")</f>
        <v/>
      </c>
    </row>
    <row r="161" spans="1:10">
      <c r="A161" s="53" t="str">
        <f>IFERROR(IF(SMALL(タスク!$AB$5:$AB$300,ROWS($A$7:A161))&gt;=1000000000000,"",INDEX(タスク!A$5:A$300,MATCH(SMALL(タスク!$AB$5:$AB$300,ROWS($A$7:A161)),タスク!$AB$5:$AB$300,0))),"")</f>
        <v/>
      </c>
      <c r="B161" s="53" t="str">
        <f>IFERROR(IF(SMALL(タスク!$AB$5:$AB$300,ROWS($A$7:A161))&gt;=1000000000000,"",INDEX(タスク!B$5:B$300,MATCH(SMALL(タスク!$AB$5:$AB$300,ROWS($A$7:A161)),タスク!$AB$5:$AB$300,0))),"")</f>
        <v/>
      </c>
      <c r="C161" s="53" t="str">
        <f>IFERROR(IF(SMALL(タスク!$AB$5:$AB$300,ROWS($A$7:A161))&gt;=1000000000000,"",INDEX(タスク!C$5:C$300,MATCH(SMALL(タスク!$AB$5:$AB$300,ROWS($A$7:A161)),タスク!$AB$5:$AB$300,0))),"")</f>
        <v/>
      </c>
      <c r="D161" s="53" t="str">
        <f>IFERROR(IF(SMALL(タスク!$AB$5:$AB$300,ROWS($A$7:A161))&gt;=1000000000000,"",INDEX(タスク!D$5:D$300,MATCH(SMALL(タスク!$AB$5:$AB$300,ROWS($A$7:A161)),タスク!$AB$5:$AB$300,0))),"")</f>
        <v/>
      </c>
      <c r="E161" s="53" t="str">
        <f>IFERROR(IF(SMALL(タスク!$AB$5:$AB$300,ROWS($A$7:A161))&gt;=1000000000000,"",INDEX(タスク!E$5:E$300,MATCH(SMALL(タスク!$AB$5:$AB$300,ROWS($A$7:A161)),タスク!$AB$5:$AB$300,0))),"")</f>
        <v/>
      </c>
      <c r="F161" s="53" t="str">
        <f>IFERROR(IF(SMALL(タスク!$AB$5:$AB$300,ROWS($A$7:A161))&gt;=1000000000000,"",INDEX(タスク!F$5:F$300,MATCH(SMALL(タスク!$AB$5:$AB$300,ROWS($A$7:A161)),タスク!$AB$5:$AB$300,0))),"")</f>
        <v/>
      </c>
      <c r="G161" s="53" t="str">
        <f>IFERROR(IF(SMALL(タスク!$AB$5:$AB$300,ROWS($A$7:A161))&gt;=1000000000000,"",INDEX(タスク!G$5:G$300,MATCH(SMALL(タスク!$AB$5:$AB$300,ROWS($A$7:A161)),タスク!$AB$5:$AB$300,0))),"")</f>
        <v/>
      </c>
      <c r="H161" s="53" t="str">
        <f>IFERROR(IF(SMALL(タスク!$AB$5:$AB$300,ROWS($A$7:A161))&gt;=1000000000000,"",INDEX(タスク!H$5:H$300,MATCH(SMALL(タスク!$AB$5:$AB$300,ROWS($A$7:A161)),タスク!$AB$5:$AB$300,0))),"")</f>
        <v/>
      </c>
      <c r="I161" s="53" t="str">
        <f>IFERROR(IF(SMALL(タスク!$AB$5:$AB$300,ROWS($A$7:A161))&gt;=1000000000000,"",INDEX(タスク!I$5:I$300,MATCH(SMALL(タスク!$AB$5:$AB$300,ROWS($A$7:A161)),タスク!$AB$5:$AB$300,0))),"")</f>
        <v/>
      </c>
      <c r="J161" s="53" t="str">
        <f>IFERROR(IF(SMALL(タスク!$AB$5:$AB$300,ROWS($A$7:A161))&gt;=1000000000000,"",INDEX(タスク!J$5:J$300,MATCH(SMALL(タスク!$AB$5:$AB$300,ROWS($A$7:A161)),タスク!$AB$5:$AB$300,0))),"")</f>
        <v/>
      </c>
    </row>
    <row r="162" spans="1:10">
      <c r="A162" s="53" t="str">
        <f>IFERROR(IF(SMALL(タスク!$AB$5:$AB$300,ROWS($A$7:A162))&gt;=1000000000000,"",INDEX(タスク!A$5:A$300,MATCH(SMALL(タスク!$AB$5:$AB$300,ROWS($A$7:A162)),タスク!$AB$5:$AB$300,0))),"")</f>
        <v/>
      </c>
      <c r="B162" s="53" t="str">
        <f>IFERROR(IF(SMALL(タスク!$AB$5:$AB$300,ROWS($A$7:A162))&gt;=1000000000000,"",INDEX(タスク!B$5:B$300,MATCH(SMALL(タスク!$AB$5:$AB$300,ROWS($A$7:A162)),タスク!$AB$5:$AB$300,0))),"")</f>
        <v/>
      </c>
      <c r="C162" s="53" t="str">
        <f>IFERROR(IF(SMALL(タスク!$AB$5:$AB$300,ROWS($A$7:A162))&gt;=1000000000000,"",INDEX(タスク!C$5:C$300,MATCH(SMALL(タスク!$AB$5:$AB$300,ROWS($A$7:A162)),タスク!$AB$5:$AB$300,0))),"")</f>
        <v/>
      </c>
      <c r="D162" s="53" t="str">
        <f>IFERROR(IF(SMALL(タスク!$AB$5:$AB$300,ROWS($A$7:A162))&gt;=1000000000000,"",INDEX(タスク!D$5:D$300,MATCH(SMALL(タスク!$AB$5:$AB$300,ROWS($A$7:A162)),タスク!$AB$5:$AB$300,0))),"")</f>
        <v/>
      </c>
      <c r="E162" s="53" t="str">
        <f>IFERROR(IF(SMALL(タスク!$AB$5:$AB$300,ROWS($A$7:A162))&gt;=1000000000000,"",INDEX(タスク!E$5:E$300,MATCH(SMALL(タスク!$AB$5:$AB$300,ROWS($A$7:A162)),タスク!$AB$5:$AB$300,0))),"")</f>
        <v/>
      </c>
      <c r="F162" s="53" t="str">
        <f>IFERROR(IF(SMALL(タスク!$AB$5:$AB$300,ROWS($A$7:A162))&gt;=1000000000000,"",INDEX(タスク!F$5:F$300,MATCH(SMALL(タスク!$AB$5:$AB$300,ROWS($A$7:A162)),タスク!$AB$5:$AB$300,0))),"")</f>
        <v/>
      </c>
      <c r="G162" s="53" t="str">
        <f>IFERROR(IF(SMALL(タスク!$AB$5:$AB$300,ROWS($A$7:A162))&gt;=1000000000000,"",INDEX(タスク!G$5:G$300,MATCH(SMALL(タスク!$AB$5:$AB$300,ROWS($A$7:A162)),タスク!$AB$5:$AB$300,0))),"")</f>
        <v/>
      </c>
      <c r="H162" s="53" t="str">
        <f>IFERROR(IF(SMALL(タスク!$AB$5:$AB$300,ROWS($A$7:A162))&gt;=1000000000000,"",INDEX(タスク!H$5:H$300,MATCH(SMALL(タスク!$AB$5:$AB$300,ROWS($A$7:A162)),タスク!$AB$5:$AB$300,0))),"")</f>
        <v/>
      </c>
      <c r="I162" s="53" t="str">
        <f>IFERROR(IF(SMALL(タスク!$AB$5:$AB$300,ROWS($A$7:A162))&gt;=1000000000000,"",INDEX(タスク!I$5:I$300,MATCH(SMALL(タスク!$AB$5:$AB$300,ROWS($A$7:A162)),タスク!$AB$5:$AB$300,0))),"")</f>
        <v/>
      </c>
      <c r="J162" s="53" t="str">
        <f>IFERROR(IF(SMALL(タスク!$AB$5:$AB$300,ROWS($A$7:A162))&gt;=1000000000000,"",INDEX(タスク!J$5:J$300,MATCH(SMALL(タスク!$AB$5:$AB$300,ROWS($A$7:A162)),タスク!$AB$5:$AB$300,0))),"")</f>
        <v/>
      </c>
    </row>
    <row r="163" spans="1:10">
      <c r="A163" s="53" t="str">
        <f>IFERROR(IF(SMALL(タスク!$AB$5:$AB$300,ROWS($A$7:A163))&gt;=1000000000000,"",INDEX(タスク!A$5:A$300,MATCH(SMALL(タスク!$AB$5:$AB$300,ROWS($A$7:A163)),タスク!$AB$5:$AB$300,0))),"")</f>
        <v/>
      </c>
      <c r="B163" s="53" t="str">
        <f>IFERROR(IF(SMALL(タスク!$AB$5:$AB$300,ROWS($A$7:A163))&gt;=1000000000000,"",INDEX(タスク!B$5:B$300,MATCH(SMALL(タスク!$AB$5:$AB$300,ROWS($A$7:A163)),タスク!$AB$5:$AB$300,0))),"")</f>
        <v/>
      </c>
      <c r="C163" s="53" t="str">
        <f>IFERROR(IF(SMALL(タスク!$AB$5:$AB$300,ROWS($A$7:A163))&gt;=1000000000000,"",INDEX(タスク!C$5:C$300,MATCH(SMALL(タスク!$AB$5:$AB$300,ROWS($A$7:A163)),タスク!$AB$5:$AB$300,0))),"")</f>
        <v/>
      </c>
      <c r="D163" s="53" t="str">
        <f>IFERROR(IF(SMALL(タスク!$AB$5:$AB$300,ROWS($A$7:A163))&gt;=1000000000000,"",INDEX(タスク!D$5:D$300,MATCH(SMALL(タスク!$AB$5:$AB$300,ROWS($A$7:A163)),タスク!$AB$5:$AB$300,0))),"")</f>
        <v/>
      </c>
      <c r="E163" s="53" t="str">
        <f>IFERROR(IF(SMALL(タスク!$AB$5:$AB$300,ROWS($A$7:A163))&gt;=1000000000000,"",INDEX(タスク!E$5:E$300,MATCH(SMALL(タスク!$AB$5:$AB$300,ROWS($A$7:A163)),タスク!$AB$5:$AB$300,0))),"")</f>
        <v/>
      </c>
      <c r="F163" s="53" t="str">
        <f>IFERROR(IF(SMALL(タスク!$AB$5:$AB$300,ROWS($A$7:A163))&gt;=1000000000000,"",INDEX(タスク!F$5:F$300,MATCH(SMALL(タスク!$AB$5:$AB$300,ROWS($A$7:A163)),タスク!$AB$5:$AB$300,0))),"")</f>
        <v/>
      </c>
      <c r="G163" s="53" t="str">
        <f>IFERROR(IF(SMALL(タスク!$AB$5:$AB$300,ROWS($A$7:A163))&gt;=1000000000000,"",INDEX(タスク!G$5:G$300,MATCH(SMALL(タスク!$AB$5:$AB$300,ROWS($A$7:A163)),タスク!$AB$5:$AB$300,0))),"")</f>
        <v/>
      </c>
      <c r="H163" s="53" t="str">
        <f>IFERROR(IF(SMALL(タスク!$AB$5:$AB$300,ROWS($A$7:A163))&gt;=1000000000000,"",INDEX(タスク!H$5:H$300,MATCH(SMALL(タスク!$AB$5:$AB$300,ROWS($A$7:A163)),タスク!$AB$5:$AB$300,0))),"")</f>
        <v/>
      </c>
      <c r="I163" s="53" t="str">
        <f>IFERROR(IF(SMALL(タスク!$AB$5:$AB$300,ROWS($A$7:A163))&gt;=1000000000000,"",INDEX(タスク!I$5:I$300,MATCH(SMALL(タスク!$AB$5:$AB$300,ROWS($A$7:A163)),タスク!$AB$5:$AB$300,0))),"")</f>
        <v/>
      </c>
      <c r="J163" s="53" t="str">
        <f>IFERROR(IF(SMALL(タスク!$AB$5:$AB$300,ROWS($A$7:A163))&gt;=1000000000000,"",INDEX(タスク!J$5:J$300,MATCH(SMALL(タスク!$AB$5:$AB$300,ROWS($A$7:A163)),タスク!$AB$5:$AB$300,0))),"")</f>
        <v/>
      </c>
    </row>
    <row r="164" spans="1:10">
      <c r="A164" s="53" t="str">
        <f>IFERROR(IF(SMALL(タスク!$AB$5:$AB$300,ROWS($A$7:A164))&gt;=1000000000000,"",INDEX(タスク!A$5:A$300,MATCH(SMALL(タスク!$AB$5:$AB$300,ROWS($A$7:A164)),タスク!$AB$5:$AB$300,0))),"")</f>
        <v/>
      </c>
      <c r="B164" s="53" t="str">
        <f>IFERROR(IF(SMALL(タスク!$AB$5:$AB$300,ROWS($A$7:A164))&gt;=1000000000000,"",INDEX(タスク!B$5:B$300,MATCH(SMALL(タスク!$AB$5:$AB$300,ROWS($A$7:A164)),タスク!$AB$5:$AB$300,0))),"")</f>
        <v/>
      </c>
      <c r="C164" s="53" t="str">
        <f>IFERROR(IF(SMALL(タスク!$AB$5:$AB$300,ROWS($A$7:A164))&gt;=1000000000000,"",INDEX(タスク!C$5:C$300,MATCH(SMALL(タスク!$AB$5:$AB$300,ROWS($A$7:A164)),タスク!$AB$5:$AB$300,0))),"")</f>
        <v/>
      </c>
      <c r="D164" s="53" t="str">
        <f>IFERROR(IF(SMALL(タスク!$AB$5:$AB$300,ROWS($A$7:A164))&gt;=1000000000000,"",INDEX(タスク!D$5:D$300,MATCH(SMALL(タスク!$AB$5:$AB$300,ROWS($A$7:A164)),タスク!$AB$5:$AB$300,0))),"")</f>
        <v/>
      </c>
      <c r="E164" s="53" t="str">
        <f>IFERROR(IF(SMALL(タスク!$AB$5:$AB$300,ROWS($A$7:A164))&gt;=1000000000000,"",INDEX(タスク!E$5:E$300,MATCH(SMALL(タスク!$AB$5:$AB$300,ROWS($A$7:A164)),タスク!$AB$5:$AB$300,0))),"")</f>
        <v/>
      </c>
      <c r="F164" s="53" t="str">
        <f>IFERROR(IF(SMALL(タスク!$AB$5:$AB$300,ROWS($A$7:A164))&gt;=1000000000000,"",INDEX(タスク!F$5:F$300,MATCH(SMALL(タスク!$AB$5:$AB$300,ROWS($A$7:A164)),タスク!$AB$5:$AB$300,0))),"")</f>
        <v/>
      </c>
      <c r="G164" s="53" t="str">
        <f>IFERROR(IF(SMALL(タスク!$AB$5:$AB$300,ROWS($A$7:A164))&gt;=1000000000000,"",INDEX(タスク!G$5:G$300,MATCH(SMALL(タスク!$AB$5:$AB$300,ROWS($A$7:A164)),タスク!$AB$5:$AB$300,0))),"")</f>
        <v/>
      </c>
      <c r="H164" s="53" t="str">
        <f>IFERROR(IF(SMALL(タスク!$AB$5:$AB$300,ROWS($A$7:A164))&gt;=1000000000000,"",INDEX(タスク!H$5:H$300,MATCH(SMALL(タスク!$AB$5:$AB$300,ROWS($A$7:A164)),タスク!$AB$5:$AB$300,0))),"")</f>
        <v/>
      </c>
      <c r="I164" s="53" t="str">
        <f>IFERROR(IF(SMALL(タスク!$AB$5:$AB$300,ROWS($A$7:A164))&gt;=1000000000000,"",INDEX(タスク!I$5:I$300,MATCH(SMALL(タスク!$AB$5:$AB$300,ROWS($A$7:A164)),タスク!$AB$5:$AB$300,0))),"")</f>
        <v/>
      </c>
      <c r="J164" s="53" t="str">
        <f>IFERROR(IF(SMALL(タスク!$AB$5:$AB$300,ROWS($A$7:A164))&gt;=1000000000000,"",INDEX(タスク!J$5:J$300,MATCH(SMALL(タスク!$AB$5:$AB$300,ROWS($A$7:A164)),タスク!$AB$5:$AB$300,0))),"")</f>
        <v/>
      </c>
    </row>
    <row r="165" spans="1:10">
      <c r="A165" s="53" t="str">
        <f>IFERROR(IF(SMALL(タスク!$AB$5:$AB$300,ROWS($A$7:A165))&gt;=1000000000000,"",INDEX(タスク!A$5:A$300,MATCH(SMALL(タスク!$AB$5:$AB$300,ROWS($A$7:A165)),タスク!$AB$5:$AB$300,0))),"")</f>
        <v/>
      </c>
      <c r="B165" s="53" t="str">
        <f>IFERROR(IF(SMALL(タスク!$AB$5:$AB$300,ROWS($A$7:A165))&gt;=1000000000000,"",INDEX(タスク!B$5:B$300,MATCH(SMALL(タスク!$AB$5:$AB$300,ROWS($A$7:A165)),タスク!$AB$5:$AB$300,0))),"")</f>
        <v/>
      </c>
      <c r="C165" s="53" t="str">
        <f>IFERROR(IF(SMALL(タスク!$AB$5:$AB$300,ROWS($A$7:A165))&gt;=1000000000000,"",INDEX(タスク!C$5:C$300,MATCH(SMALL(タスク!$AB$5:$AB$300,ROWS($A$7:A165)),タスク!$AB$5:$AB$300,0))),"")</f>
        <v/>
      </c>
      <c r="D165" s="53" t="str">
        <f>IFERROR(IF(SMALL(タスク!$AB$5:$AB$300,ROWS($A$7:A165))&gt;=1000000000000,"",INDEX(タスク!D$5:D$300,MATCH(SMALL(タスク!$AB$5:$AB$300,ROWS($A$7:A165)),タスク!$AB$5:$AB$300,0))),"")</f>
        <v/>
      </c>
      <c r="E165" s="53" t="str">
        <f>IFERROR(IF(SMALL(タスク!$AB$5:$AB$300,ROWS($A$7:A165))&gt;=1000000000000,"",INDEX(タスク!E$5:E$300,MATCH(SMALL(タスク!$AB$5:$AB$300,ROWS($A$7:A165)),タスク!$AB$5:$AB$300,0))),"")</f>
        <v/>
      </c>
      <c r="F165" s="53" t="str">
        <f>IFERROR(IF(SMALL(タスク!$AB$5:$AB$300,ROWS($A$7:A165))&gt;=1000000000000,"",INDEX(タスク!F$5:F$300,MATCH(SMALL(タスク!$AB$5:$AB$300,ROWS($A$7:A165)),タスク!$AB$5:$AB$300,0))),"")</f>
        <v/>
      </c>
      <c r="G165" s="53" t="str">
        <f>IFERROR(IF(SMALL(タスク!$AB$5:$AB$300,ROWS($A$7:A165))&gt;=1000000000000,"",INDEX(タスク!G$5:G$300,MATCH(SMALL(タスク!$AB$5:$AB$300,ROWS($A$7:A165)),タスク!$AB$5:$AB$300,0))),"")</f>
        <v/>
      </c>
      <c r="H165" s="53" t="str">
        <f>IFERROR(IF(SMALL(タスク!$AB$5:$AB$300,ROWS($A$7:A165))&gt;=1000000000000,"",INDEX(タスク!H$5:H$300,MATCH(SMALL(タスク!$AB$5:$AB$300,ROWS($A$7:A165)),タスク!$AB$5:$AB$300,0))),"")</f>
        <v/>
      </c>
      <c r="I165" s="53" t="str">
        <f>IFERROR(IF(SMALL(タスク!$AB$5:$AB$300,ROWS($A$7:A165))&gt;=1000000000000,"",INDEX(タスク!I$5:I$300,MATCH(SMALL(タスク!$AB$5:$AB$300,ROWS($A$7:A165)),タスク!$AB$5:$AB$300,0))),"")</f>
        <v/>
      </c>
      <c r="J165" s="53" t="str">
        <f>IFERROR(IF(SMALL(タスク!$AB$5:$AB$300,ROWS($A$7:A165))&gt;=1000000000000,"",INDEX(タスク!J$5:J$300,MATCH(SMALL(タスク!$AB$5:$AB$300,ROWS($A$7:A165)),タスク!$AB$5:$AB$300,0))),"")</f>
        <v/>
      </c>
    </row>
    <row r="166" spans="1:10">
      <c r="A166" s="53" t="str">
        <f>IFERROR(IF(SMALL(タスク!$AB$5:$AB$300,ROWS($A$7:A166))&gt;=1000000000000,"",INDEX(タスク!A$5:A$300,MATCH(SMALL(タスク!$AB$5:$AB$300,ROWS($A$7:A166)),タスク!$AB$5:$AB$300,0))),"")</f>
        <v/>
      </c>
      <c r="B166" s="53" t="str">
        <f>IFERROR(IF(SMALL(タスク!$AB$5:$AB$300,ROWS($A$7:A166))&gt;=1000000000000,"",INDEX(タスク!B$5:B$300,MATCH(SMALL(タスク!$AB$5:$AB$300,ROWS($A$7:A166)),タスク!$AB$5:$AB$300,0))),"")</f>
        <v/>
      </c>
      <c r="C166" s="53" t="str">
        <f>IFERROR(IF(SMALL(タスク!$AB$5:$AB$300,ROWS($A$7:A166))&gt;=1000000000000,"",INDEX(タスク!C$5:C$300,MATCH(SMALL(タスク!$AB$5:$AB$300,ROWS($A$7:A166)),タスク!$AB$5:$AB$300,0))),"")</f>
        <v/>
      </c>
      <c r="D166" s="53" t="str">
        <f>IFERROR(IF(SMALL(タスク!$AB$5:$AB$300,ROWS($A$7:A166))&gt;=1000000000000,"",INDEX(タスク!D$5:D$300,MATCH(SMALL(タスク!$AB$5:$AB$300,ROWS($A$7:A166)),タスク!$AB$5:$AB$300,0))),"")</f>
        <v/>
      </c>
      <c r="E166" s="53" t="str">
        <f>IFERROR(IF(SMALL(タスク!$AB$5:$AB$300,ROWS($A$7:A166))&gt;=1000000000000,"",INDEX(タスク!E$5:E$300,MATCH(SMALL(タスク!$AB$5:$AB$300,ROWS($A$7:A166)),タスク!$AB$5:$AB$300,0))),"")</f>
        <v/>
      </c>
      <c r="F166" s="53" t="str">
        <f>IFERROR(IF(SMALL(タスク!$AB$5:$AB$300,ROWS($A$7:A166))&gt;=1000000000000,"",INDEX(タスク!F$5:F$300,MATCH(SMALL(タスク!$AB$5:$AB$300,ROWS($A$7:A166)),タスク!$AB$5:$AB$300,0))),"")</f>
        <v/>
      </c>
      <c r="G166" s="53" t="str">
        <f>IFERROR(IF(SMALL(タスク!$AB$5:$AB$300,ROWS($A$7:A166))&gt;=1000000000000,"",INDEX(タスク!G$5:G$300,MATCH(SMALL(タスク!$AB$5:$AB$300,ROWS($A$7:A166)),タスク!$AB$5:$AB$300,0))),"")</f>
        <v/>
      </c>
      <c r="H166" s="53" t="str">
        <f>IFERROR(IF(SMALL(タスク!$AB$5:$AB$300,ROWS($A$7:A166))&gt;=1000000000000,"",INDEX(タスク!H$5:H$300,MATCH(SMALL(タスク!$AB$5:$AB$300,ROWS($A$7:A166)),タスク!$AB$5:$AB$300,0))),"")</f>
        <v/>
      </c>
      <c r="I166" s="53" t="str">
        <f>IFERROR(IF(SMALL(タスク!$AB$5:$AB$300,ROWS($A$7:A166))&gt;=1000000000000,"",INDEX(タスク!I$5:I$300,MATCH(SMALL(タスク!$AB$5:$AB$300,ROWS($A$7:A166)),タスク!$AB$5:$AB$300,0))),"")</f>
        <v/>
      </c>
      <c r="J166" s="53" t="str">
        <f>IFERROR(IF(SMALL(タスク!$AB$5:$AB$300,ROWS($A$7:A166))&gt;=1000000000000,"",INDEX(タスク!J$5:J$300,MATCH(SMALL(タスク!$AB$5:$AB$300,ROWS($A$7:A166)),タスク!$AB$5:$AB$300,0))),"")</f>
        <v/>
      </c>
    </row>
    <row r="167" spans="1:10">
      <c r="A167" s="53" t="str">
        <f>IFERROR(IF(SMALL(タスク!$AB$5:$AB$300,ROWS($A$7:A167))&gt;=1000000000000,"",INDEX(タスク!A$5:A$300,MATCH(SMALL(タスク!$AB$5:$AB$300,ROWS($A$7:A167)),タスク!$AB$5:$AB$300,0))),"")</f>
        <v/>
      </c>
      <c r="B167" s="53" t="str">
        <f>IFERROR(IF(SMALL(タスク!$AB$5:$AB$300,ROWS($A$7:A167))&gt;=1000000000000,"",INDEX(タスク!B$5:B$300,MATCH(SMALL(タスク!$AB$5:$AB$300,ROWS($A$7:A167)),タスク!$AB$5:$AB$300,0))),"")</f>
        <v/>
      </c>
      <c r="C167" s="53" t="str">
        <f>IFERROR(IF(SMALL(タスク!$AB$5:$AB$300,ROWS($A$7:A167))&gt;=1000000000000,"",INDEX(タスク!C$5:C$300,MATCH(SMALL(タスク!$AB$5:$AB$300,ROWS($A$7:A167)),タスク!$AB$5:$AB$300,0))),"")</f>
        <v/>
      </c>
      <c r="D167" s="53" t="str">
        <f>IFERROR(IF(SMALL(タスク!$AB$5:$AB$300,ROWS($A$7:A167))&gt;=1000000000000,"",INDEX(タスク!D$5:D$300,MATCH(SMALL(タスク!$AB$5:$AB$300,ROWS($A$7:A167)),タスク!$AB$5:$AB$300,0))),"")</f>
        <v/>
      </c>
      <c r="E167" s="53" t="str">
        <f>IFERROR(IF(SMALL(タスク!$AB$5:$AB$300,ROWS($A$7:A167))&gt;=1000000000000,"",INDEX(タスク!E$5:E$300,MATCH(SMALL(タスク!$AB$5:$AB$300,ROWS($A$7:A167)),タスク!$AB$5:$AB$300,0))),"")</f>
        <v/>
      </c>
      <c r="F167" s="53" t="str">
        <f>IFERROR(IF(SMALL(タスク!$AB$5:$AB$300,ROWS($A$7:A167))&gt;=1000000000000,"",INDEX(タスク!F$5:F$300,MATCH(SMALL(タスク!$AB$5:$AB$300,ROWS($A$7:A167)),タスク!$AB$5:$AB$300,0))),"")</f>
        <v/>
      </c>
      <c r="G167" s="53" t="str">
        <f>IFERROR(IF(SMALL(タスク!$AB$5:$AB$300,ROWS($A$7:A167))&gt;=1000000000000,"",INDEX(タスク!G$5:G$300,MATCH(SMALL(タスク!$AB$5:$AB$300,ROWS($A$7:A167)),タスク!$AB$5:$AB$300,0))),"")</f>
        <v/>
      </c>
      <c r="H167" s="53" t="str">
        <f>IFERROR(IF(SMALL(タスク!$AB$5:$AB$300,ROWS($A$7:A167))&gt;=1000000000000,"",INDEX(タスク!H$5:H$300,MATCH(SMALL(タスク!$AB$5:$AB$300,ROWS($A$7:A167)),タスク!$AB$5:$AB$300,0))),"")</f>
        <v/>
      </c>
      <c r="I167" s="53" t="str">
        <f>IFERROR(IF(SMALL(タスク!$AB$5:$AB$300,ROWS($A$7:A167))&gt;=1000000000000,"",INDEX(タスク!I$5:I$300,MATCH(SMALL(タスク!$AB$5:$AB$300,ROWS($A$7:A167)),タスク!$AB$5:$AB$300,0))),"")</f>
        <v/>
      </c>
      <c r="J167" s="53" t="str">
        <f>IFERROR(IF(SMALL(タスク!$AB$5:$AB$300,ROWS($A$7:A167))&gt;=1000000000000,"",INDEX(タスク!J$5:J$300,MATCH(SMALL(タスク!$AB$5:$AB$300,ROWS($A$7:A167)),タスク!$AB$5:$AB$300,0))),"")</f>
        <v/>
      </c>
    </row>
    <row r="168" spans="1:10">
      <c r="A168" s="53" t="str">
        <f>IFERROR(IF(SMALL(タスク!$AB$5:$AB$300,ROWS($A$7:A168))&gt;=1000000000000,"",INDEX(タスク!A$5:A$300,MATCH(SMALL(タスク!$AB$5:$AB$300,ROWS($A$7:A168)),タスク!$AB$5:$AB$300,0))),"")</f>
        <v/>
      </c>
      <c r="B168" s="53" t="str">
        <f>IFERROR(IF(SMALL(タスク!$AB$5:$AB$300,ROWS($A$7:A168))&gt;=1000000000000,"",INDEX(タスク!B$5:B$300,MATCH(SMALL(タスク!$AB$5:$AB$300,ROWS($A$7:A168)),タスク!$AB$5:$AB$300,0))),"")</f>
        <v/>
      </c>
      <c r="C168" s="53" t="str">
        <f>IFERROR(IF(SMALL(タスク!$AB$5:$AB$300,ROWS($A$7:A168))&gt;=1000000000000,"",INDEX(タスク!C$5:C$300,MATCH(SMALL(タスク!$AB$5:$AB$300,ROWS($A$7:A168)),タスク!$AB$5:$AB$300,0))),"")</f>
        <v/>
      </c>
      <c r="D168" s="53" t="str">
        <f>IFERROR(IF(SMALL(タスク!$AB$5:$AB$300,ROWS($A$7:A168))&gt;=1000000000000,"",INDEX(タスク!D$5:D$300,MATCH(SMALL(タスク!$AB$5:$AB$300,ROWS($A$7:A168)),タスク!$AB$5:$AB$300,0))),"")</f>
        <v/>
      </c>
      <c r="E168" s="53" t="str">
        <f>IFERROR(IF(SMALL(タスク!$AB$5:$AB$300,ROWS($A$7:A168))&gt;=1000000000000,"",INDEX(タスク!E$5:E$300,MATCH(SMALL(タスク!$AB$5:$AB$300,ROWS($A$7:A168)),タスク!$AB$5:$AB$300,0))),"")</f>
        <v/>
      </c>
      <c r="F168" s="53" t="str">
        <f>IFERROR(IF(SMALL(タスク!$AB$5:$AB$300,ROWS($A$7:A168))&gt;=1000000000000,"",INDEX(タスク!F$5:F$300,MATCH(SMALL(タスク!$AB$5:$AB$300,ROWS($A$7:A168)),タスク!$AB$5:$AB$300,0))),"")</f>
        <v/>
      </c>
      <c r="G168" s="53" t="str">
        <f>IFERROR(IF(SMALL(タスク!$AB$5:$AB$300,ROWS($A$7:A168))&gt;=1000000000000,"",INDEX(タスク!G$5:G$300,MATCH(SMALL(タスク!$AB$5:$AB$300,ROWS($A$7:A168)),タスク!$AB$5:$AB$300,0))),"")</f>
        <v/>
      </c>
      <c r="H168" s="53" t="str">
        <f>IFERROR(IF(SMALL(タスク!$AB$5:$AB$300,ROWS($A$7:A168))&gt;=1000000000000,"",INDEX(タスク!H$5:H$300,MATCH(SMALL(タスク!$AB$5:$AB$300,ROWS($A$7:A168)),タスク!$AB$5:$AB$300,0))),"")</f>
        <v/>
      </c>
      <c r="I168" s="53" t="str">
        <f>IFERROR(IF(SMALL(タスク!$AB$5:$AB$300,ROWS($A$7:A168))&gt;=1000000000000,"",INDEX(タスク!I$5:I$300,MATCH(SMALL(タスク!$AB$5:$AB$300,ROWS($A$7:A168)),タスク!$AB$5:$AB$300,0))),"")</f>
        <v/>
      </c>
      <c r="J168" s="53" t="str">
        <f>IFERROR(IF(SMALL(タスク!$AB$5:$AB$300,ROWS($A$7:A168))&gt;=1000000000000,"",INDEX(タスク!J$5:J$300,MATCH(SMALL(タスク!$AB$5:$AB$300,ROWS($A$7:A168)),タスク!$AB$5:$AB$300,0))),"")</f>
        <v/>
      </c>
    </row>
    <row r="169" spans="1:10">
      <c r="A169" s="53" t="str">
        <f>IFERROR(IF(SMALL(タスク!$AB$5:$AB$300,ROWS($A$7:A169))&gt;=1000000000000,"",INDEX(タスク!A$5:A$300,MATCH(SMALL(タスク!$AB$5:$AB$300,ROWS($A$7:A169)),タスク!$AB$5:$AB$300,0))),"")</f>
        <v/>
      </c>
      <c r="B169" s="53" t="str">
        <f>IFERROR(IF(SMALL(タスク!$AB$5:$AB$300,ROWS($A$7:A169))&gt;=1000000000000,"",INDEX(タスク!B$5:B$300,MATCH(SMALL(タスク!$AB$5:$AB$300,ROWS($A$7:A169)),タスク!$AB$5:$AB$300,0))),"")</f>
        <v/>
      </c>
      <c r="C169" s="53" t="str">
        <f>IFERROR(IF(SMALL(タスク!$AB$5:$AB$300,ROWS($A$7:A169))&gt;=1000000000000,"",INDEX(タスク!C$5:C$300,MATCH(SMALL(タスク!$AB$5:$AB$300,ROWS($A$7:A169)),タスク!$AB$5:$AB$300,0))),"")</f>
        <v/>
      </c>
      <c r="D169" s="53" t="str">
        <f>IFERROR(IF(SMALL(タスク!$AB$5:$AB$300,ROWS($A$7:A169))&gt;=1000000000000,"",INDEX(タスク!D$5:D$300,MATCH(SMALL(タスク!$AB$5:$AB$300,ROWS($A$7:A169)),タスク!$AB$5:$AB$300,0))),"")</f>
        <v/>
      </c>
      <c r="E169" s="53" t="str">
        <f>IFERROR(IF(SMALL(タスク!$AB$5:$AB$300,ROWS($A$7:A169))&gt;=1000000000000,"",INDEX(タスク!E$5:E$300,MATCH(SMALL(タスク!$AB$5:$AB$300,ROWS($A$7:A169)),タスク!$AB$5:$AB$300,0))),"")</f>
        <v/>
      </c>
      <c r="F169" s="53" t="str">
        <f>IFERROR(IF(SMALL(タスク!$AB$5:$AB$300,ROWS($A$7:A169))&gt;=1000000000000,"",INDEX(タスク!F$5:F$300,MATCH(SMALL(タスク!$AB$5:$AB$300,ROWS($A$7:A169)),タスク!$AB$5:$AB$300,0))),"")</f>
        <v/>
      </c>
      <c r="G169" s="53" t="str">
        <f>IFERROR(IF(SMALL(タスク!$AB$5:$AB$300,ROWS($A$7:A169))&gt;=1000000000000,"",INDEX(タスク!G$5:G$300,MATCH(SMALL(タスク!$AB$5:$AB$300,ROWS($A$7:A169)),タスク!$AB$5:$AB$300,0))),"")</f>
        <v/>
      </c>
      <c r="H169" s="53" t="str">
        <f>IFERROR(IF(SMALL(タスク!$AB$5:$AB$300,ROWS($A$7:A169))&gt;=1000000000000,"",INDEX(タスク!H$5:H$300,MATCH(SMALL(タスク!$AB$5:$AB$300,ROWS($A$7:A169)),タスク!$AB$5:$AB$300,0))),"")</f>
        <v/>
      </c>
      <c r="I169" s="53" t="str">
        <f>IFERROR(IF(SMALL(タスク!$AB$5:$AB$300,ROWS($A$7:A169))&gt;=1000000000000,"",INDEX(タスク!I$5:I$300,MATCH(SMALL(タスク!$AB$5:$AB$300,ROWS($A$7:A169)),タスク!$AB$5:$AB$300,0))),"")</f>
        <v/>
      </c>
      <c r="J169" s="53" t="str">
        <f>IFERROR(IF(SMALL(タスク!$AB$5:$AB$300,ROWS($A$7:A169))&gt;=1000000000000,"",INDEX(タスク!J$5:J$300,MATCH(SMALL(タスク!$AB$5:$AB$300,ROWS($A$7:A169)),タスク!$AB$5:$AB$300,0))),"")</f>
        <v/>
      </c>
    </row>
    <row r="170" spans="1:10">
      <c r="A170" s="53" t="str">
        <f>IFERROR(IF(SMALL(タスク!$AB$5:$AB$300,ROWS($A$7:A170))&gt;=1000000000000,"",INDEX(タスク!A$5:A$300,MATCH(SMALL(タスク!$AB$5:$AB$300,ROWS($A$7:A170)),タスク!$AB$5:$AB$300,0))),"")</f>
        <v/>
      </c>
      <c r="B170" s="53" t="str">
        <f>IFERROR(IF(SMALL(タスク!$AB$5:$AB$300,ROWS($A$7:A170))&gt;=1000000000000,"",INDEX(タスク!B$5:B$300,MATCH(SMALL(タスク!$AB$5:$AB$300,ROWS($A$7:A170)),タスク!$AB$5:$AB$300,0))),"")</f>
        <v/>
      </c>
      <c r="C170" s="53" t="str">
        <f>IFERROR(IF(SMALL(タスク!$AB$5:$AB$300,ROWS($A$7:A170))&gt;=1000000000000,"",INDEX(タスク!C$5:C$300,MATCH(SMALL(タスク!$AB$5:$AB$300,ROWS($A$7:A170)),タスク!$AB$5:$AB$300,0))),"")</f>
        <v/>
      </c>
      <c r="D170" s="53" t="str">
        <f>IFERROR(IF(SMALL(タスク!$AB$5:$AB$300,ROWS($A$7:A170))&gt;=1000000000000,"",INDEX(タスク!D$5:D$300,MATCH(SMALL(タスク!$AB$5:$AB$300,ROWS($A$7:A170)),タスク!$AB$5:$AB$300,0))),"")</f>
        <v/>
      </c>
      <c r="E170" s="53" t="str">
        <f>IFERROR(IF(SMALL(タスク!$AB$5:$AB$300,ROWS($A$7:A170))&gt;=1000000000000,"",INDEX(タスク!E$5:E$300,MATCH(SMALL(タスク!$AB$5:$AB$300,ROWS($A$7:A170)),タスク!$AB$5:$AB$300,0))),"")</f>
        <v/>
      </c>
      <c r="F170" s="53" t="str">
        <f>IFERROR(IF(SMALL(タスク!$AB$5:$AB$300,ROWS($A$7:A170))&gt;=1000000000000,"",INDEX(タスク!F$5:F$300,MATCH(SMALL(タスク!$AB$5:$AB$300,ROWS($A$7:A170)),タスク!$AB$5:$AB$300,0))),"")</f>
        <v/>
      </c>
      <c r="G170" s="53" t="str">
        <f>IFERROR(IF(SMALL(タスク!$AB$5:$AB$300,ROWS($A$7:A170))&gt;=1000000000000,"",INDEX(タスク!G$5:G$300,MATCH(SMALL(タスク!$AB$5:$AB$300,ROWS($A$7:A170)),タスク!$AB$5:$AB$300,0))),"")</f>
        <v/>
      </c>
      <c r="H170" s="53" t="str">
        <f>IFERROR(IF(SMALL(タスク!$AB$5:$AB$300,ROWS($A$7:A170))&gt;=1000000000000,"",INDEX(タスク!H$5:H$300,MATCH(SMALL(タスク!$AB$5:$AB$300,ROWS($A$7:A170)),タスク!$AB$5:$AB$300,0))),"")</f>
        <v/>
      </c>
      <c r="I170" s="53" t="str">
        <f>IFERROR(IF(SMALL(タスク!$AB$5:$AB$300,ROWS($A$7:A170))&gt;=1000000000000,"",INDEX(タスク!I$5:I$300,MATCH(SMALL(タスク!$AB$5:$AB$300,ROWS($A$7:A170)),タスク!$AB$5:$AB$300,0))),"")</f>
        <v/>
      </c>
      <c r="J170" s="53" t="str">
        <f>IFERROR(IF(SMALL(タスク!$AB$5:$AB$300,ROWS($A$7:A170))&gt;=1000000000000,"",INDEX(タスク!J$5:J$300,MATCH(SMALL(タスク!$AB$5:$AB$300,ROWS($A$7:A170)),タスク!$AB$5:$AB$300,0))),"")</f>
        <v/>
      </c>
    </row>
    <row r="171" spans="1:10">
      <c r="A171" s="53" t="str">
        <f>IFERROR(IF(SMALL(タスク!$AB$5:$AB$300,ROWS($A$7:A171))&gt;=1000000000000,"",INDEX(タスク!A$5:A$300,MATCH(SMALL(タスク!$AB$5:$AB$300,ROWS($A$7:A171)),タスク!$AB$5:$AB$300,0))),"")</f>
        <v/>
      </c>
      <c r="B171" s="53" t="str">
        <f>IFERROR(IF(SMALL(タスク!$AB$5:$AB$300,ROWS($A$7:A171))&gt;=1000000000000,"",INDEX(タスク!B$5:B$300,MATCH(SMALL(タスク!$AB$5:$AB$300,ROWS($A$7:A171)),タスク!$AB$5:$AB$300,0))),"")</f>
        <v/>
      </c>
      <c r="C171" s="53" t="str">
        <f>IFERROR(IF(SMALL(タスク!$AB$5:$AB$300,ROWS($A$7:A171))&gt;=1000000000000,"",INDEX(タスク!C$5:C$300,MATCH(SMALL(タスク!$AB$5:$AB$300,ROWS($A$7:A171)),タスク!$AB$5:$AB$300,0))),"")</f>
        <v/>
      </c>
      <c r="D171" s="53" t="str">
        <f>IFERROR(IF(SMALL(タスク!$AB$5:$AB$300,ROWS($A$7:A171))&gt;=1000000000000,"",INDEX(タスク!D$5:D$300,MATCH(SMALL(タスク!$AB$5:$AB$300,ROWS($A$7:A171)),タスク!$AB$5:$AB$300,0))),"")</f>
        <v/>
      </c>
      <c r="E171" s="53" t="str">
        <f>IFERROR(IF(SMALL(タスク!$AB$5:$AB$300,ROWS($A$7:A171))&gt;=1000000000000,"",INDEX(タスク!E$5:E$300,MATCH(SMALL(タスク!$AB$5:$AB$300,ROWS($A$7:A171)),タスク!$AB$5:$AB$300,0))),"")</f>
        <v/>
      </c>
      <c r="F171" s="53" t="str">
        <f>IFERROR(IF(SMALL(タスク!$AB$5:$AB$300,ROWS($A$7:A171))&gt;=1000000000000,"",INDEX(タスク!F$5:F$300,MATCH(SMALL(タスク!$AB$5:$AB$300,ROWS($A$7:A171)),タスク!$AB$5:$AB$300,0))),"")</f>
        <v/>
      </c>
      <c r="G171" s="53" t="str">
        <f>IFERROR(IF(SMALL(タスク!$AB$5:$AB$300,ROWS($A$7:A171))&gt;=1000000000000,"",INDEX(タスク!G$5:G$300,MATCH(SMALL(タスク!$AB$5:$AB$300,ROWS($A$7:A171)),タスク!$AB$5:$AB$300,0))),"")</f>
        <v/>
      </c>
      <c r="H171" s="53" t="str">
        <f>IFERROR(IF(SMALL(タスク!$AB$5:$AB$300,ROWS($A$7:A171))&gt;=1000000000000,"",INDEX(タスク!H$5:H$300,MATCH(SMALL(タスク!$AB$5:$AB$300,ROWS($A$7:A171)),タスク!$AB$5:$AB$300,0))),"")</f>
        <v/>
      </c>
      <c r="I171" s="53" t="str">
        <f>IFERROR(IF(SMALL(タスク!$AB$5:$AB$300,ROWS($A$7:A171))&gt;=1000000000000,"",INDEX(タスク!I$5:I$300,MATCH(SMALL(タスク!$AB$5:$AB$300,ROWS($A$7:A171)),タスク!$AB$5:$AB$300,0))),"")</f>
        <v/>
      </c>
      <c r="J171" s="53" t="str">
        <f>IFERROR(IF(SMALL(タスク!$AB$5:$AB$300,ROWS($A$7:A171))&gt;=1000000000000,"",INDEX(タスク!J$5:J$300,MATCH(SMALL(タスク!$AB$5:$AB$300,ROWS($A$7:A171)),タスク!$AB$5:$AB$300,0))),"")</f>
        <v/>
      </c>
    </row>
    <row r="172" spans="1:10">
      <c r="A172" s="53" t="str">
        <f>IFERROR(IF(SMALL(タスク!$AB$5:$AB$300,ROWS($A$7:A172))&gt;=1000000000000,"",INDEX(タスク!A$5:A$300,MATCH(SMALL(タスク!$AB$5:$AB$300,ROWS($A$7:A172)),タスク!$AB$5:$AB$300,0))),"")</f>
        <v/>
      </c>
      <c r="B172" s="53" t="str">
        <f>IFERROR(IF(SMALL(タスク!$AB$5:$AB$300,ROWS($A$7:A172))&gt;=1000000000000,"",INDEX(タスク!B$5:B$300,MATCH(SMALL(タスク!$AB$5:$AB$300,ROWS($A$7:A172)),タスク!$AB$5:$AB$300,0))),"")</f>
        <v/>
      </c>
      <c r="C172" s="53" t="str">
        <f>IFERROR(IF(SMALL(タスク!$AB$5:$AB$300,ROWS($A$7:A172))&gt;=1000000000000,"",INDEX(タスク!C$5:C$300,MATCH(SMALL(タスク!$AB$5:$AB$300,ROWS($A$7:A172)),タスク!$AB$5:$AB$300,0))),"")</f>
        <v/>
      </c>
      <c r="D172" s="53" t="str">
        <f>IFERROR(IF(SMALL(タスク!$AB$5:$AB$300,ROWS($A$7:A172))&gt;=1000000000000,"",INDEX(タスク!D$5:D$300,MATCH(SMALL(タスク!$AB$5:$AB$300,ROWS($A$7:A172)),タスク!$AB$5:$AB$300,0))),"")</f>
        <v/>
      </c>
      <c r="E172" s="53" t="str">
        <f>IFERROR(IF(SMALL(タスク!$AB$5:$AB$300,ROWS($A$7:A172))&gt;=1000000000000,"",INDEX(タスク!E$5:E$300,MATCH(SMALL(タスク!$AB$5:$AB$300,ROWS($A$7:A172)),タスク!$AB$5:$AB$300,0))),"")</f>
        <v/>
      </c>
      <c r="F172" s="53" t="str">
        <f>IFERROR(IF(SMALL(タスク!$AB$5:$AB$300,ROWS($A$7:A172))&gt;=1000000000000,"",INDEX(タスク!F$5:F$300,MATCH(SMALL(タスク!$AB$5:$AB$300,ROWS($A$7:A172)),タスク!$AB$5:$AB$300,0))),"")</f>
        <v/>
      </c>
      <c r="G172" s="53" t="str">
        <f>IFERROR(IF(SMALL(タスク!$AB$5:$AB$300,ROWS($A$7:A172))&gt;=1000000000000,"",INDEX(タスク!G$5:G$300,MATCH(SMALL(タスク!$AB$5:$AB$300,ROWS($A$7:A172)),タスク!$AB$5:$AB$300,0))),"")</f>
        <v/>
      </c>
      <c r="H172" s="53" t="str">
        <f>IFERROR(IF(SMALL(タスク!$AB$5:$AB$300,ROWS($A$7:A172))&gt;=1000000000000,"",INDEX(タスク!H$5:H$300,MATCH(SMALL(タスク!$AB$5:$AB$300,ROWS($A$7:A172)),タスク!$AB$5:$AB$300,0))),"")</f>
        <v/>
      </c>
      <c r="I172" s="53" t="str">
        <f>IFERROR(IF(SMALL(タスク!$AB$5:$AB$300,ROWS($A$7:A172))&gt;=1000000000000,"",INDEX(タスク!I$5:I$300,MATCH(SMALL(タスク!$AB$5:$AB$300,ROWS($A$7:A172)),タスク!$AB$5:$AB$300,0))),"")</f>
        <v/>
      </c>
      <c r="J172" s="53" t="str">
        <f>IFERROR(IF(SMALL(タスク!$AB$5:$AB$300,ROWS($A$7:A172))&gt;=1000000000000,"",INDEX(タスク!J$5:J$300,MATCH(SMALL(タスク!$AB$5:$AB$300,ROWS($A$7:A172)),タスク!$AB$5:$AB$300,0))),"")</f>
        <v/>
      </c>
    </row>
    <row r="173" spans="1:10">
      <c r="A173" s="53" t="str">
        <f>IFERROR(IF(SMALL(タスク!$AB$5:$AB$300,ROWS($A$7:A173))&gt;=1000000000000,"",INDEX(タスク!A$5:A$300,MATCH(SMALL(タスク!$AB$5:$AB$300,ROWS($A$7:A173)),タスク!$AB$5:$AB$300,0))),"")</f>
        <v/>
      </c>
      <c r="B173" s="53" t="str">
        <f>IFERROR(IF(SMALL(タスク!$AB$5:$AB$300,ROWS($A$7:A173))&gt;=1000000000000,"",INDEX(タスク!B$5:B$300,MATCH(SMALL(タスク!$AB$5:$AB$300,ROWS($A$7:A173)),タスク!$AB$5:$AB$300,0))),"")</f>
        <v/>
      </c>
      <c r="C173" s="53" t="str">
        <f>IFERROR(IF(SMALL(タスク!$AB$5:$AB$300,ROWS($A$7:A173))&gt;=1000000000000,"",INDEX(タスク!C$5:C$300,MATCH(SMALL(タスク!$AB$5:$AB$300,ROWS($A$7:A173)),タスク!$AB$5:$AB$300,0))),"")</f>
        <v/>
      </c>
      <c r="D173" s="53" t="str">
        <f>IFERROR(IF(SMALL(タスク!$AB$5:$AB$300,ROWS($A$7:A173))&gt;=1000000000000,"",INDEX(タスク!D$5:D$300,MATCH(SMALL(タスク!$AB$5:$AB$300,ROWS($A$7:A173)),タスク!$AB$5:$AB$300,0))),"")</f>
        <v/>
      </c>
      <c r="E173" s="53" t="str">
        <f>IFERROR(IF(SMALL(タスク!$AB$5:$AB$300,ROWS($A$7:A173))&gt;=1000000000000,"",INDEX(タスク!E$5:E$300,MATCH(SMALL(タスク!$AB$5:$AB$300,ROWS($A$7:A173)),タスク!$AB$5:$AB$300,0))),"")</f>
        <v/>
      </c>
      <c r="F173" s="53" t="str">
        <f>IFERROR(IF(SMALL(タスク!$AB$5:$AB$300,ROWS($A$7:A173))&gt;=1000000000000,"",INDEX(タスク!F$5:F$300,MATCH(SMALL(タスク!$AB$5:$AB$300,ROWS($A$7:A173)),タスク!$AB$5:$AB$300,0))),"")</f>
        <v/>
      </c>
      <c r="G173" s="53" t="str">
        <f>IFERROR(IF(SMALL(タスク!$AB$5:$AB$300,ROWS($A$7:A173))&gt;=1000000000000,"",INDEX(タスク!G$5:G$300,MATCH(SMALL(タスク!$AB$5:$AB$300,ROWS($A$7:A173)),タスク!$AB$5:$AB$300,0))),"")</f>
        <v/>
      </c>
      <c r="H173" s="53" t="str">
        <f>IFERROR(IF(SMALL(タスク!$AB$5:$AB$300,ROWS($A$7:A173))&gt;=1000000000000,"",INDEX(タスク!H$5:H$300,MATCH(SMALL(タスク!$AB$5:$AB$300,ROWS($A$7:A173)),タスク!$AB$5:$AB$300,0))),"")</f>
        <v/>
      </c>
      <c r="I173" s="53" t="str">
        <f>IFERROR(IF(SMALL(タスク!$AB$5:$AB$300,ROWS($A$7:A173))&gt;=1000000000000,"",INDEX(タスク!I$5:I$300,MATCH(SMALL(タスク!$AB$5:$AB$300,ROWS($A$7:A173)),タスク!$AB$5:$AB$300,0))),"")</f>
        <v/>
      </c>
      <c r="J173" s="53" t="str">
        <f>IFERROR(IF(SMALL(タスク!$AB$5:$AB$300,ROWS($A$7:A173))&gt;=1000000000000,"",INDEX(タスク!J$5:J$300,MATCH(SMALL(タスク!$AB$5:$AB$300,ROWS($A$7:A173)),タスク!$AB$5:$AB$300,0))),"")</f>
        <v/>
      </c>
    </row>
    <row r="174" spans="1:10">
      <c r="A174" s="53" t="str">
        <f>IFERROR(IF(SMALL(タスク!$AB$5:$AB$300,ROWS($A$7:A174))&gt;=1000000000000,"",INDEX(タスク!A$5:A$300,MATCH(SMALL(タスク!$AB$5:$AB$300,ROWS($A$7:A174)),タスク!$AB$5:$AB$300,0))),"")</f>
        <v/>
      </c>
      <c r="B174" s="53" t="str">
        <f>IFERROR(IF(SMALL(タスク!$AB$5:$AB$300,ROWS($A$7:A174))&gt;=1000000000000,"",INDEX(タスク!B$5:B$300,MATCH(SMALL(タスク!$AB$5:$AB$300,ROWS($A$7:A174)),タスク!$AB$5:$AB$300,0))),"")</f>
        <v/>
      </c>
      <c r="C174" s="53" t="str">
        <f>IFERROR(IF(SMALL(タスク!$AB$5:$AB$300,ROWS($A$7:A174))&gt;=1000000000000,"",INDEX(タスク!C$5:C$300,MATCH(SMALL(タスク!$AB$5:$AB$300,ROWS($A$7:A174)),タスク!$AB$5:$AB$300,0))),"")</f>
        <v/>
      </c>
      <c r="D174" s="53" t="str">
        <f>IFERROR(IF(SMALL(タスク!$AB$5:$AB$300,ROWS($A$7:A174))&gt;=1000000000000,"",INDEX(タスク!D$5:D$300,MATCH(SMALL(タスク!$AB$5:$AB$300,ROWS($A$7:A174)),タスク!$AB$5:$AB$300,0))),"")</f>
        <v/>
      </c>
      <c r="E174" s="53" t="str">
        <f>IFERROR(IF(SMALL(タスク!$AB$5:$AB$300,ROWS($A$7:A174))&gt;=1000000000000,"",INDEX(タスク!E$5:E$300,MATCH(SMALL(タスク!$AB$5:$AB$300,ROWS($A$7:A174)),タスク!$AB$5:$AB$300,0))),"")</f>
        <v/>
      </c>
      <c r="F174" s="53" t="str">
        <f>IFERROR(IF(SMALL(タスク!$AB$5:$AB$300,ROWS($A$7:A174))&gt;=1000000000000,"",INDEX(タスク!F$5:F$300,MATCH(SMALL(タスク!$AB$5:$AB$300,ROWS($A$7:A174)),タスク!$AB$5:$AB$300,0))),"")</f>
        <v/>
      </c>
      <c r="G174" s="53" t="str">
        <f>IFERROR(IF(SMALL(タスク!$AB$5:$AB$300,ROWS($A$7:A174))&gt;=1000000000000,"",INDEX(タスク!G$5:G$300,MATCH(SMALL(タスク!$AB$5:$AB$300,ROWS($A$7:A174)),タスク!$AB$5:$AB$300,0))),"")</f>
        <v/>
      </c>
      <c r="H174" s="53" t="str">
        <f>IFERROR(IF(SMALL(タスク!$AB$5:$AB$300,ROWS($A$7:A174))&gt;=1000000000000,"",INDEX(タスク!H$5:H$300,MATCH(SMALL(タスク!$AB$5:$AB$300,ROWS($A$7:A174)),タスク!$AB$5:$AB$300,0))),"")</f>
        <v/>
      </c>
      <c r="I174" s="53" t="str">
        <f>IFERROR(IF(SMALL(タスク!$AB$5:$AB$300,ROWS($A$7:A174))&gt;=1000000000000,"",INDEX(タスク!I$5:I$300,MATCH(SMALL(タスク!$AB$5:$AB$300,ROWS($A$7:A174)),タスク!$AB$5:$AB$300,0))),"")</f>
        <v/>
      </c>
      <c r="J174" s="53" t="str">
        <f>IFERROR(IF(SMALL(タスク!$AB$5:$AB$300,ROWS($A$7:A174))&gt;=1000000000000,"",INDEX(タスク!J$5:J$300,MATCH(SMALL(タスク!$AB$5:$AB$300,ROWS($A$7:A174)),タスク!$AB$5:$AB$300,0))),"")</f>
        <v/>
      </c>
    </row>
    <row r="175" spans="1:10">
      <c r="A175" s="53" t="str">
        <f>IFERROR(IF(SMALL(タスク!$AB$5:$AB$300,ROWS($A$7:A175))&gt;=1000000000000,"",INDEX(タスク!A$5:A$300,MATCH(SMALL(タスク!$AB$5:$AB$300,ROWS($A$7:A175)),タスク!$AB$5:$AB$300,0))),"")</f>
        <v/>
      </c>
      <c r="B175" s="53" t="str">
        <f>IFERROR(IF(SMALL(タスク!$AB$5:$AB$300,ROWS($A$7:A175))&gt;=1000000000000,"",INDEX(タスク!B$5:B$300,MATCH(SMALL(タスク!$AB$5:$AB$300,ROWS($A$7:A175)),タスク!$AB$5:$AB$300,0))),"")</f>
        <v/>
      </c>
      <c r="C175" s="53" t="str">
        <f>IFERROR(IF(SMALL(タスク!$AB$5:$AB$300,ROWS($A$7:A175))&gt;=1000000000000,"",INDEX(タスク!C$5:C$300,MATCH(SMALL(タスク!$AB$5:$AB$300,ROWS($A$7:A175)),タスク!$AB$5:$AB$300,0))),"")</f>
        <v/>
      </c>
      <c r="D175" s="53" t="str">
        <f>IFERROR(IF(SMALL(タスク!$AB$5:$AB$300,ROWS($A$7:A175))&gt;=1000000000000,"",INDEX(タスク!D$5:D$300,MATCH(SMALL(タスク!$AB$5:$AB$300,ROWS($A$7:A175)),タスク!$AB$5:$AB$300,0))),"")</f>
        <v/>
      </c>
      <c r="E175" s="53" t="str">
        <f>IFERROR(IF(SMALL(タスク!$AB$5:$AB$300,ROWS($A$7:A175))&gt;=1000000000000,"",INDEX(タスク!E$5:E$300,MATCH(SMALL(タスク!$AB$5:$AB$300,ROWS($A$7:A175)),タスク!$AB$5:$AB$300,0))),"")</f>
        <v/>
      </c>
      <c r="F175" s="53" t="str">
        <f>IFERROR(IF(SMALL(タスク!$AB$5:$AB$300,ROWS($A$7:A175))&gt;=1000000000000,"",INDEX(タスク!F$5:F$300,MATCH(SMALL(タスク!$AB$5:$AB$300,ROWS($A$7:A175)),タスク!$AB$5:$AB$300,0))),"")</f>
        <v/>
      </c>
      <c r="G175" s="53" t="str">
        <f>IFERROR(IF(SMALL(タスク!$AB$5:$AB$300,ROWS($A$7:A175))&gt;=1000000000000,"",INDEX(タスク!G$5:G$300,MATCH(SMALL(タスク!$AB$5:$AB$300,ROWS($A$7:A175)),タスク!$AB$5:$AB$300,0))),"")</f>
        <v/>
      </c>
      <c r="H175" s="53" t="str">
        <f>IFERROR(IF(SMALL(タスク!$AB$5:$AB$300,ROWS($A$7:A175))&gt;=1000000000000,"",INDEX(タスク!H$5:H$300,MATCH(SMALL(タスク!$AB$5:$AB$300,ROWS($A$7:A175)),タスク!$AB$5:$AB$300,0))),"")</f>
        <v/>
      </c>
      <c r="I175" s="53" t="str">
        <f>IFERROR(IF(SMALL(タスク!$AB$5:$AB$300,ROWS($A$7:A175))&gt;=1000000000000,"",INDEX(タスク!I$5:I$300,MATCH(SMALL(タスク!$AB$5:$AB$300,ROWS($A$7:A175)),タスク!$AB$5:$AB$300,0))),"")</f>
        <v/>
      </c>
      <c r="J175" s="53" t="str">
        <f>IFERROR(IF(SMALL(タスク!$AB$5:$AB$300,ROWS($A$7:A175))&gt;=1000000000000,"",INDEX(タスク!J$5:J$300,MATCH(SMALL(タスク!$AB$5:$AB$300,ROWS($A$7:A175)),タスク!$AB$5:$AB$300,0))),"")</f>
        <v/>
      </c>
    </row>
    <row r="176" spans="1:10">
      <c r="A176" s="53" t="str">
        <f>IFERROR(IF(SMALL(タスク!$AB$5:$AB$300,ROWS($A$7:A176))&gt;=1000000000000,"",INDEX(タスク!A$5:A$300,MATCH(SMALL(タスク!$AB$5:$AB$300,ROWS($A$7:A176)),タスク!$AB$5:$AB$300,0))),"")</f>
        <v/>
      </c>
      <c r="B176" s="53" t="str">
        <f>IFERROR(IF(SMALL(タスク!$AB$5:$AB$300,ROWS($A$7:A176))&gt;=1000000000000,"",INDEX(タスク!B$5:B$300,MATCH(SMALL(タスク!$AB$5:$AB$300,ROWS($A$7:A176)),タスク!$AB$5:$AB$300,0))),"")</f>
        <v/>
      </c>
      <c r="C176" s="53" t="str">
        <f>IFERROR(IF(SMALL(タスク!$AB$5:$AB$300,ROWS($A$7:A176))&gt;=1000000000000,"",INDEX(タスク!C$5:C$300,MATCH(SMALL(タスク!$AB$5:$AB$300,ROWS($A$7:A176)),タスク!$AB$5:$AB$300,0))),"")</f>
        <v/>
      </c>
      <c r="D176" s="53" t="str">
        <f>IFERROR(IF(SMALL(タスク!$AB$5:$AB$300,ROWS($A$7:A176))&gt;=1000000000000,"",INDEX(タスク!D$5:D$300,MATCH(SMALL(タスク!$AB$5:$AB$300,ROWS($A$7:A176)),タスク!$AB$5:$AB$300,0))),"")</f>
        <v/>
      </c>
      <c r="E176" s="53" t="str">
        <f>IFERROR(IF(SMALL(タスク!$AB$5:$AB$300,ROWS($A$7:A176))&gt;=1000000000000,"",INDEX(タスク!E$5:E$300,MATCH(SMALL(タスク!$AB$5:$AB$300,ROWS($A$7:A176)),タスク!$AB$5:$AB$300,0))),"")</f>
        <v/>
      </c>
      <c r="F176" s="53" t="str">
        <f>IFERROR(IF(SMALL(タスク!$AB$5:$AB$300,ROWS($A$7:A176))&gt;=1000000000000,"",INDEX(タスク!F$5:F$300,MATCH(SMALL(タスク!$AB$5:$AB$300,ROWS($A$7:A176)),タスク!$AB$5:$AB$300,0))),"")</f>
        <v/>
      </c>
      <c r="G176" s="53" t="str">
        <f>IFERROR(IF(SMALL(タスク!$AB$5:$AB$300,ROWS($A$7:A176))&gt;=1000000000000,"",INDEX(タスク!G$5:G$300,MATCH(SMALL(タスク!$AB$5:$AB$300,ROWS($A$7:A176)),タスク!$AB$5:$AB$300,0))),"")</f>
        <v/>
      </c>
      <c r="H176" s="53" t="str">
        <f>IFERROR(IF(SMALL(タスク!$AB$5:$AB$300,ROWS($A$7:A176))&gt;=1000000000000,"",INDEX(タスク!H$5:H$300,MATCH(SMALL(タスク!$AB$5:$AB$300,ROWS($A$7:A176)),タスク!$AB$5:$AB$300,0))),"")</f>
        <v/>
      </c>
      <c r="I176" s="53" t="str">
        <f>IFERROR(IF(SMALL(タスク!$AB$5:$AB$300,ROWS($A$7:A176))&gt;=1000000000000,"",INDEX(タスク!I$5:I$300,MATCH(SMALL(タスク!$AB$5:$AB$300,ROWS($A$7:A176)),タスク!$AB$5:$AB$300,0))),"")</f>
        <v/>
      </c>
      <c r="J176" s="53" t="str">
        <f>IFERROR(IF(SMALL(タスク!$AB$5:$AB$300,ROWS($A$7:A176))&gt;=1000000000000,"",INDEX(タスク!J$5:J$300,MATCH(SMALL(タスク!$AB$5:$AB$300,ROWS($A$7:A176)),タスク!$AB$5:$AB$300,0))),"")</f>
        <v/>
      </c>
    </row>
    <row r="177" spans="1:10">
      <c r="A177" s="53" t="str">
        <f>IFERROR(IF(SMALL(タスク!$AB$5:$AB$300,ROWS($A$7:A177))&gt;=1000000000000,"",INDEX(タスク!A$5:A$300,MATCH(SMALL(タスク!$AB$5:$AB$300,ROWS($A$7:A177)),タスク!$AB$5:$AB$300,0))),"")</f>
        <v/>
      </c>
      <c r="B177" s="53" t="str">
        <f>IFERROR(IF(SMALL(タスク!$AB$5:$AB$300,ROWS($A$7:A177))&gt;=1000000000000,"",INDEX(タスク!B$5:B$300,MATCH(SMALL(タスク!$AB$5:$AB$300,ROWS($A$7:A177)),タスク!$AB$5:$AB$300,0))),"")</f>
        <v/>
      </c>
      <c r="C177" s="53" t="str">
        <f>IFERROR(IF(SMALL(タスク!$AB$5:$AB$300,ROWS($A$7:A177))&gt;=1000000000000,"",INDEX(タスク!C$5:C$300,MATCH(SMALL(タスク!$AB$5:$AB$300,ROWS($A$7:A177)),タスク!$AB$5:$AB$300,0))),"")</f>
        <v/>
      </c>
      <c r="D177" s="53" t="str">
        <f>IFERROR(IF(SMALL(タスク!$AB$5:$AB$300,ROWS($A$7:A177))&gt;=1000000000000,"",INDEX(タスク!D$5:D$300,MATCH(SMALL(タスク!$AB$5:$AB$300,ROWS($A$7:A177)),タスク!$AB$5:$AB$300,0))),"")</f>
        <v/>
      </c>
      <c r="E177" s="53" t="str">
        <f>IFERROR(IF(SMALL(タスク!$AB$5:$AB$300,ROWS($A$7:A177))&gt;=1000000000000,"",INDEX(タスク!E$5:E$300,MATCH(SMALL(タスク!$AB$5:$AB$300,ROWS($A$7:A177)),タスク!$AB$5:$AB$300,0))),"")</f>
        <v/>
      </c>
      <c r="F177" s="53" t="str">
        <f>IFERROR(IF(SMALL(タスク!$AB$5:$AB$300,ROWS($A$7:A177))&gt;=1000000000000,"",INDEX(タスク!F$5:F$300,MATCH(SMALL(タスク!$AB$5:$AB$300,ROWS($A$7:A177)),タスク!$AB$5:$AB$300,0))),"")</f>
        <v/>
      </c>
      <c r="G177" s="53" t="str">
        <f>IFERROR(IF(SMALL(タスク!$AB$5:$AB$300,ROWS($A$7:A177))&gt;=1000000000000,"",INDEX(タスク!G$5:G$300,MATCH(SMALL(タスク!$AB$5:$AB$300,ROWS($A$7:A177)),タスク!$AB$5:$AB$300,0))),"")</f>
        <v/>
      </c>
      <c r="H177" s="53" t="str">
        <f>IFERROR(IF(SMALL(タスク!$AB$5:$AB$300,ROWS($A$7:A177))&gt;=1000000000000,"",INDEX(タスク!H$5:H$300,MATCH(SMALL(タスク!$AB$5:$AB$300,ROWS($A$7:A177)),タスク!$AB$5:$AB$300,0))),"")</f>
        <v/>
      </c>
      <c r="I177" s="53" t="str">
        <f>IFERROR(IF(SMALL(タスク!$AB$5:$AB$300,ROWS($A$7:A177))&gt;=1000000000000,"",INDEX(タスク!I$5:I$300,MATCH(SMALL(タスク!$AB$5:$AB$300,ROWS($A$7:A177)),タスク!$AB$5:$AB$300,0))),"")</f>
        <v/>
      </c>
      <c r="J177" s="53" t="str">
        <f>IFERROR(IF(SMALL(タスク!$AB$5:$AB$300,ROWS($A$7:A177))&gt;=1000000000000,"",INDEX(タスク!J$5:J$300,MATCH(SMALL(タスク!$AB$5:$AB$300,ROWS($A$7:A177)),タスク!$AB$5:$AB$300,0))),"")</f>
        <v/>
      </c>
    </row>
    <row r="178" spans="1:10">
      <c r="A178" s="53" t="str">
        <f>IFERROR(IF(SMALL(タスク!$AB$5:$AB$300,ROWS($A$7:A178))&gt;=1000000000000,"",INDEX(タスク!A$5:A$300,MATCH(SMALL(タスク!$AB$5:$AB$300,ROWS($A$7:A178)),タスク!$AB$5:$AB$300,0))),"")</f>
        <v/>
      </c>
      <c r="B178" s="53" t="str">
        <f>IFERROR(IF(SMALL(タスク!$AB$5:$AB$300,ROWS($A$7:A178))&gt;=1000000000000,"",INDEX(タスク!B$5:B$300,MATCH(SMALL(タスク!$AB$5:$AB$300,ROWS($A$7:A178)),タスク!$AB$5:$AB$300,0))),"")</f>
        <v/>
      </c>
      <c r="C178" s="53" t="str">
        <f>IFERROR(IF(SMALL(タスク!$AB$5:$AB$300,ROWS($A$7:A178))&gt;=1000000000000,"",INDEX(タスク!C$5:C$300,MATCH(SMALL(タスク!$AB$5:$AB$300,ROWS($A$7:A178)),タスク!$AB$5:$AB$300,0))),"")</f>
        <v/>
      </c>
      <c r="D178" s="53" t="str">
        <f>IFERROR(IF(SMALL(タスク!$AB$5:$AB$300,ROWS($A$7:A178))&gt;=1000000000000,"",INDEX(タスク!D$5:D$300,MATCH(SMALL(タスク!$AB$5:$AB$300,ROWS($A$7:A178)),タスク!$AB$5:$AB$300,0))),"")</f>
        <v/>
      </c>
      <c r="E178" s="53" t="str">
        <f>IFERROR(IF(SMALL(タスク!$AB$5:$AB$300,ROWS($A$7:A178))&gt;=1000000000000,"",INDEX(タスク!E$5:E$300,MATCH(SMALL(タスク!$AB$5:$AB$300,ROWS($A$7:A178)),タスク!$AB$5:$AB$300,0))),"")</f>
        <v/>
      </c>
      <c r="F178" s="53" t="str">
        <f>IFERROR(IF(SMALL(タスク!$AB$5:$AB$300,ROWS($A$7:A178))&gt;=1000000000000,"",INDEX(タスク!F$5:F$300,MATCH(SMALL(タスク!$AB$5:$AB$300,ROWS($A$7:A178)),タスク!$AB$5:$AB$300,0))),"")</f>
        <v/>
      </c>
      <c r="G178" s="53" t="str">
        <f>IFERROR(IF(SMALL(タスク!$AB$5:$AB$300,ROWS($A$7:A178))&gt;=1000000000000,"",INDEX(タスク!G$5:G$300,MATCH(SMALL(タスク!$AB$5:$AB$300,ROWS($A$7:A178)),タスク!$AB$5:$AB$300,0))),"")</f>
        <v/>
      </c>
      <c r="H178" s="53" t="str">
        <f>IFERROR(IF(SMALL(タスク!$AB$5:$AB$300,ROWS($A$7:A178))&gt;=1000000000000,"",INDEX(タスク!H$5:H$300,MATCH(SMALL(タスク!$AB$5:$AB$300,ROWS($A$7:A178)),タスク!$AB$5:$AB$300,0))),"")</f>
        <v/>
      </c>
      <c r="I178" s="53" t="str">
        <f>IFERROR(IF(SMALL(タスク!$AB$5:$AB$300,ROWS($A$7:A178))&gt;=1000000000000,"",INDEX(タスク!I$5:I$300,MATCH(SMALL(タスク!$AB$5:$AB$300,ROWS($A$7:A178)),タスク!$AB$5:$AB$300,0))),"")</f>
        <v/>
      </c>
      <c r="J178" s="53" t="str">
        <f>IFERROR(IF(SMALL(タスク!$AB$5:$AB$300,ROWS($A$7:A178))&gt;=1000000000000,"",INDEX(タスク!J$5:J$300,MATCH(SMALL(タスク!$AB$5:$AB$300,ROWS($A$7:A178)),タスク!$AB$5:$AB$300,0))),"")</f>
        <v/>
      </c>
    </row>
    <row r="179" spans="1:10">
      <c r="A179" s="53" t="str">
        <f>IFERROR(IF(SMALL(タスク!$AB$5:$AB$300,ROWS($A$7:A179))&gt;=1000000000000,"",INDEX(タスク!A$5:A$300,MATCH(SMALL(タスク!$AB$5:$AB$300,ROWS($A$7:A179)),タスク!$AB$5:$AB$300,0))),"")</f>
        <v/>
      </c>
      <c r="B179" s="53" t="str">
        <f>IFERROR(IF(SMALL(タスク!$AB$5:$AB$300,ROWS($A$7:A179))&gt;=1000000000000,"",INDEX(タスク!B$5:B$300,MATCH(SMALL(タスク!$AB$5:$AB$300,ROWS($A$7:A179)),タスク!$AB$5:$AB$300,0))),"")</f>
        <v/>
      </c>
      <c r="C179" s="53" t="str">
        <f>IFERROR(IF(SMALL(タスク!$AB$5:$AB$300,ROWS($A$7:A179))&gt;=1000000000000,"",INDEX(タスク!C$5:C$300,MATCH(SMALL(タスク!$AB$5:$AB$300,ROWS($A$7:A179)),タスク!$AB$5:$AB$300,0))),"")</f>
        <v/>
      </c>
      <c r="D179" s="53" t="str">
        <f>IFERROR(IF(SMALL(タスク!$AB$5:$AB$300,ROWS($A$7:A179))&gt;=1000000000000,"",INDEX(タスク!D$5:D$300,MATCH(SMALL(タスク!$AB$5:$AB$300,ROWS($A$7:A179)),タスク!$AB$5:$AB$300,0))),"")</f>
        <v/>
      </c>
      <c r="E179" s="53" t="str">
        <f>IFERROR(IF(SMALL(タスク!$AB$5:$AB$300,ROWS($A$7:A179))&gt;=1000000000000,"",INDEX(タスク!E$5:E$300,MATCH(SMALL(タスク!$AB$5:$AB$300,ROWS($A$7:A179)),タスク!$AB$5:$AB$300,0))),"")</f>
        <v/>
      </c>
      <c r="F179" s="53" t="str">
        <f>IFERROR(IF(SMALL(タスク!$AB$5:$AB$300,ROWS($A$7:A179))&gt;=1000000000000,"",INDEX(タスク!F$5:F$300,MATCH(SMALL(タスク!$AB$5:$AB$300,ROWS($A$7:A179)),タスク!$AB$5:$AB$300,0))),"")</f>
        <v/>
      </c>
      <c r="G179" s="53" t="str">
        <f>IFERROR(IF(SMALL(タスク!$AB$5:$AB$300,ROWS($A$7:A179))&gt;=1000000000000,"",INDEX(タスク!G$5:G$300,MATCH(SMALL(タスク!$AB$5:$AB$300,ROWS($A$7:A179)),タスク!$AB$5:$AB$300,0))),"")</f>
        <v/>
      </c>
      <c r="H179" s="53" t="str">
        <f>IFERROR(IF(SMALL(タスク!$AB$5:$AB$300,ROWS($A$7:A179))&gt;=1000000000000,"",INDEX(タスク!H$5:H$300,MATCH(SMALL(タスク!$AB$5:$AB$300,ROWS($A$7:A179)),タスク!$AB$5:$AB$300,0))),"")</f>
        <v/>
      </c>
      <c r="I179" s="53" t="str">
        <f>IFERROR(IF(SMALL(タスク!$AB$5:$AB$300,ROWS($A$7:A179))&gt;=1000000000000,"",INDEX(タスク!I$5:I$300,MATCH(SMALL(タスク!$AB$5:$AB$300,ROWS($A$7:A179)),タスク!$AB$5:$AB$300,0))),"")</f>
        <v/>
      </c>
      <c r="J179" s="53" t="str">
        <f>IFERROR(IF(SMALL(タスク!$AB$5:$AB$300,ROWS($A$7:A179))&gt;=1000000000000,"",INDEX(タスク!J$5:J$300,MATCH(SMALL(タスク!$AB$5:$AB$300,ROWS($A$7:A179)),タスク!$AB$5:$AB$300,0))),"")</f>
        <v/>
      </c>
    </row>
    <row r="180" spans="1:10">
      <c r="A180" s="53" t="str">
        <f>IFERROR(IF(SMALL(タスク!$AB$5:$AB$300,ROWS($A$7:A180))&gt;=1000000000000,"",INDEX(タスク!A$5:A$300,MATCH(SMALL(タスク!$AB$5:$AB$300,ROWS($A$7:A180)),タスク!$AB$5:$AB$300,0))),"")</f>
        <v/>
      </c>
      <c r="B180" s="53" t="str">
        <f>IFERROR(IF(SMALL(タスク!$AB$5:$AB$300,ROWS($A$7:A180))&gt;=1000000000000,"",INDEX(タスク!B$5:B$300,MATCH(SMALL(タスク!$AB$5:$AB$300,ROWS($A$7:A180)),タスク!$AB$5:$AB$300,0))),"")</f>
        <v/>
      </c>
      <c r="C180" s="53" t="str">
        <f>IFERROR(IF(SMALL(タスク!$AB$5:$AB$300,ROWS($A$7:A180))&gt;=1000000000000,"",INDEX(タスク!C$5:C$300,MATCH(SMALL(タスク!$AB$5:$AB$300,ROWS($A$7:A180)),タスク!$AB$5:$AB$300,0))),"")</f>
        <v/>
      </c>
      <c r="D180" s="53" t="str">
        <f>IFERROR(IF(SMALL(タスク!$AB$5:$AB$300,ROWS($A$7:A180))&gt;=1000000000000,"",INDEX(タスク!D$5:D$300,MATCH(SMALL(タスク!$AB$5:$AB$300,ROWS($A$7:A180)),タスク!$AB$5:$AB$300,0))),"")</f>
        <v/>
      </c>
      <c r="E180" s="53" t="str">
        <f>IFERROR(IF(SMALL(タスク!$AB$5:$AB$300,ROWS($A$7:A180))&gt;=1000000000000,"",INDEX(タスク!E$5:E$300,MATCH(SMALL(タスク!$AB$5:$AB$300,ROWS($A$7:A180)),タスク!$AB$5:$AB$300,0))),"")</f>
        <v/>
      </c>
      <c r="F180" s="53" t="str">
        <f>IFERROR(IF(SMALL(タスク!$AB$5:$AB$300,ROWS($A$7:A180))&gt;=1000000000000,"",INDEX(タスク!F$5:F$300,MATCH(SMALL(タスク!$AB$5:$AB$300,ROWS($A$7:A180)),タスク!$AB$5:$AB$300,0))),"")</f>
        <v/>
      </c>
      <c r="G180" s="53" t="str">
        <f>IFERROR(IF(SMALL(タスク!$AB$5:$AB$300,ROWS($A$7:A180))&gt;=1000000000000,"",INDEX(タスク!G$5:G$300,MATCH(SMALL(タスク!$AB$5:$AB$300,ROWS($A$7:A180)),タスク!$AB$5:$AB$300,0))),"")</f>
        <v/>
      </c>
      <c r="H180" s="53" t="str">
        <f>IFERROR(IF(SMALL(タスク!$AB$5:$AB$300,ROWS($A$7:A180))&gt;=1000000000000,"",INDEX(タスク!H$5:H$300,MATCH(SMALL(タスク!$AB$5:$AB$300,ROWS($A$7:A180)),タスク!$AB$5:$AB$300,0))),"")</f>
        <v/>
      </c>
      <c r="I180" s="53" t="str">
        <f>IFERROR(IF(SMALL(タスク!$AB$5:$AB$300,ROWS($A$7:A180))&gt;=1000000000000,"",INDEX(タスク!I$5:I$300,MATCH(SMALL(タスク!$AB$5:$AB$300,ROWS($A$7:A180)),タスク!$AB$5:$AB$300,0))),"")</f>
        <v/>
      </c>
      <c r="J180" s="53" t="str">
        <f>IFERROR(IF(SMALL(タスク!$AB$5:$AB$300,ROWS($A$7:A180))&gt;=1000000000000,"",INDEX(タスク!J$5:J$300,MATCH(SMALL(タスク!$AB$5:$AB$300,ROWS($A$7:A180)),タスク!$AB$5:$AB$300,0))),"")</f>
        <v/>
      </c>
    </row>
    <row r="181" spans="1:10">
      <c r="A181" s="53" t="str">
        <f>IFERROR(IF(SMALL(タスク!$AB$5:$AB$300,ROWS($A$7:A181))&gt;=1000000000000,"",INDEX(タスク!A$5:A$300,MATCH(SMALL(タスク!$AB$5:$AB$300,ROWS($A$7:A181)),タスク!$AB$5:$AB$300,0))),"")</f>
        <v/>
      </c>
      <c r="B181" s="53" t="str">
        <f>IFERROR(IF(SMALL(タスク!$AB$5:$AB$300,ROWS($A$7:A181))&gt;=1000000000000,"",INDEX(タスク!B$5:B$300,MATCH(SMALL(タスク!$AB$5:$AB$300,ROWS($A$7:A181)),タスク!$AB$5:$AB$300,0))),"")</f>
        <v/>
      </c>
      <c r="C181" s="53" t="str">
        <f>IFERROR(IF(SMALL(タスク!$AB$5:$AB$300,ROWS($A$7:A181))&gt;=1000000000000,"",INDEX(タスク!C$5:C$300,MATCH(SMALL(タスク!$AB$5:$AB$300,ROWS($A$7:A181)),タスク!$AB$5:$AB$300,0))),"")</f>
        <v/>
      </c>
      <c r="D181" s="53" t="str">
        <f>IFERROR(IF(SMALL(タスク!$AB$5:$AB$300,ROWS($A$7:A181))&gt;=1000000000000,"",INDEX(タスク!D$5:D$300,MATCH(SMALL(タスク!$AB$5:$AB$300,ROWS($A$7:A181)),タスク!$AB$5:$AB$300,0))),"")</f>
        <v/>
      </c>
      <c r="E181" s="53" t="str">
        <f>IFERROR(IF(SMALL(タスク!$AB$5:$AB$300,ROWS($A$7:A181))&gt;=1000000000000,"",INDEX(タスク!E$5:E$300,MATCH(SMALL(タスク!$AB$5:$AB$300,ROWS($A$7:A181)),タスク!$AB$5:$AB$300,0))),"")</f>
        <v/>
      </c>
      <c r="F181" s="53" t="str">
        <f>IFERROR(IF(SMALL(タスク!$AB$5:$AB$300,ROWS($A$7:A181))&gt;=1000000000000,"",INDEX(タスク!F$5:F$300,MATCH(SMALL(タスク!$AB$5:$AB$300,ROWS($A$7:A181)),タスク!$AB$5:$AB$300,0))),"")</f>
        <v/>
      </c>
      <c r="G181" s="53" t="str">
        <f>IFERROR(IF(SMALL(タスク!$AB$5:$AB$300,ROWS($A$7:A181))&gt;=1000000000000,"",INDEX(タスク!G$5:G$300,MATCH(SMALL(タスク!$AB$5:$AB$300,ROWS($A$7:A181)),タスク!$AB$5:$AB$300,0))),"")</f>
        <v/>
      </c>
      <c r="H181" s="53" t="str">
        <f>IFERROR(IF(SMALL(タスク!$AB$5:$AB$300,ROWS($A$7:A181))&gt;=1000000000000,"",INDEX(タスク!H$5:H$300,MATCH(SMALL(タスク!$AB$5:$AB$300,ROWS($A$7:A181)),タスク!$AB$5:$AB$300,0))),"")</f>
        <v/>
      </c>
      <c r="I181" s="53" t="str">
        <f>IFERROR(IF(SMALL(タスク!$AB$5:$AB$300,ROWS($A$7:A181))&gt;=1000000000000,"",INDEX(タスク!I$5:I$300,MATCH(SMALL(タスク!$AB$5:$AB$300,ROWS($A$7:A181)),タスク!$AB$5:$AB$300,0))),"")</f>
        <v/>
      </c>
      <c r="J181" s="53" t="str">
        <f>IFERROR(IF(SMALL(タスク!$AB$5:$AB$300,ROWS($A$7:A181))&gt;=1000000000000,"",INDEX(タスク!J$5:J$300,MATCH(SMALL(タスク!$AB$5:$AB$300,ROWS($A$7:A181)),タスク!$AB$5:$AB$300,0))),"")</f>
        <v/>
      </c>
    </row>
    <row r="182" spans="1:10">
      <c r="A182" s="53" t="str">
        <f>IFERROR(IF(SMALL(タスク!$AB$5:$AB$300,ROWS($A$7:A182))&gt;=1000000000000,"",INDEX(タスク!A$5:A$300,MATCH(SMALL(タスク!$AB$5:$AB$300,ROWS($A$7:A182)),タスク!$AB$5:$AB$300,0))),"")</f>
        <v/>
      </c>
      <c r="B182" s="53" t="str">
        <f>IFERROR(IF(SMALL(タスク!$AB$5:$AB$300,ROWS($A$7:A182))&gt;=1000000000000,"",INDEX(タスク!B$5:B$300,MATCH(SMALL(タスク!$AB$5:$AB$300,ROWS($A$7:A182)),タスク!$AB$5:$AB$300,0))),"")</f>
        <v/>
      </c>
      <c r="C182" s="53" t="str">
        <f>IFERROR(IF(SMALL(タスク!$AB$5:$AB$300,ROWS($A$7:A182))&gt;=1000000000000,"",INDEX(タスク!C$5:C$300,MATCH(SMALL(タスク!$AB$5:$AB$300,ROWS($A$7:A182)),タスク!$AB$5:$AB$300,0))),"")</f>
        <v/>
      </c>
      <c r="D182" s="53" t="str">
        <f>IFERROR(IF(SMALL(タスク!$AB$5:$AB$300,ROWS($A$7:A182))&gt;=1000000000000,"",INDEX(タスク!D$5:D$300,MATCH(SMALL(タスク!$AB$5:$AB$300,ROWS($A$7:A182)),タスク!$AB$5:$AB$300,0))),"")</f>
        <v/>
      </c>
      <c r="E182" s="53" t="str">
        <f>IFERROR(IF(SMALL(タスク!$AB$5:$AB$300,ROWS($A$7:A182))&gt;=1000000000000,"",INDEX(タスク!E$5:E$300,MATCH(SMALL(タスク!$AB$5:$AB$300,ROWS($A$7:A182)),タスク!$AB$5:$AB$300,0))),"")</f>
        <v/>
      </c>
      <c r="F182" s="53" t="str">
        <f>IFERROR(IF(SMALL(タスク!$AB$5:$AB$300,ROWS($A$7:A182))&gt;=1000000000000,"",INDEX(タスク!F$5:F$300,MATCH(SMALL(タスク!$AB$5:$AB$300,ROWS($A$7:A182)),タスク!$AB$5:$AB$300,0))),"")</f>
        <v/>
      </c>
      <c r="G182" s="53" t="str">
        <f>IFERROR(IF(SMALL(タスク!$AB$5:$AB$300,ROWS($A$7:A182))&gt;=1000000000000,"",INDEX(タスク!G$5:G$300,MATCH(SMALL(タスク!$AB$5:$AB$300,ROWS($A$7:A182)),タスク!$AB$5:$AB$300,0))),"")</f>
        <v/>
      </c>
      <c r="H182" s="53" t="str">
        <f>IFERROR(IF(SMALL(タスク!$AB$5:$AB$300,ROWS($A$7:A182))&gt;=1000000000000,"",INDEX(タスク!H$5:H$300,MATCH(SMALL(タスク!$AB$5:$AB$300,ROWS($A$7:A182)),タスク!$AB$5:$AB$300,0))),"")</f>
        <v/>
      </c>
      <c r="I182" s="53" t="str">
        <f>IFERROR(IF(SMALL(タスク!$AB$5:$AB$300,ROWS($A$7:A182))&gt;=1000000000000,"",INDEX(タスク!I$5:I$300,MATCH(SMALL(タスク!$AB$5:$AB$300,ROWS($A$7:A182)),タスク!$AB$5:$AB$300,0))),"")</f>
        <v/>
      </c>
      <c r="J182" s="53" t="str">
        <f>IFERROR(IF(SMALL(タスク!$AB$5:$AB$300,ROWS($A$7:A182))&gt;=1000000000000,"",INDEX(タスク!J$5:J$300,MATCH(SMALL(タスク!$AB$5:$AB$300,ROWS($A$7:A182)),タスク!$AB$5:$AB$300,0))),"")</f>
        <v/>
      </c>
    </row>
    <row r="183" spans="1:10">
      <c r="A183" s="53" t="str">
        <f>IFERROR(IF(SMALL(タスク!$AB$5:$AB$300,ROWS($A$7:A183))&gt;=1000000000000,"",INDEX(タスク!A$5:A$300,MATCH(SMALL(タスク!$AB$5:$AB$300,ROWS($A$7:A183)),タスク!$AB$5:$AB$300,0))),"")</f>
        <v/>
      </c>
      <c r="B183" s="53" t="str">
        <f>IFERROR(IF(SMALL(タスク!$AB$5:$AB$300,ROWS($A$7:A183))&gt;=1000000000000,"",INDEX(タスク!B$5:B$300,MATCH(SMALL(タスク!$AB$5:$AB$300,ROWS($A$7:A183)),タスク!$AB$5:$AB$300,0))),"")</f>
        <v/>
      </c>
      <c r="C183" s="53" t="str">
        <f>IFERROR(IF(SMALL(タスク!$AB$5:$AB$300,ROWS($A$7:A183))&gt;=1000000000000,"",INDEX(タスク!C$5:C$300,MATCH(SMALL(タスク!$AB$5:$AB$300,ROWS($A$7:A183)),タスク!$AB$5:$AB$300,0))),"")</f>
        <v/>
      </c>
      <c r="D183" s="53" t="str">
        <f>IFERROR(IF(SMALL(タスク!$AB$5:$AB$300,ROWS($A$7:A183))&gt;=1000000000000,"",INDEX(タスク!D$5:D$300,MATCH(SMALL(タスク!$AB$5:$AB$300,ROWS($A$7:A183)),タスク!$AB$5:$AB$300,0))),"")</f>
        <v/>
      </c>
      <c r="E183" s="53" t="str">
        <f>IFERROR(IF(SMALL(タスク!$AB$5:$AB$300,ROWS($A$7:A183))&gt;=1000000000000,"",INDEX(タスク!E$5:E$300,MATCH(SMALL(タスク!$AB$5:$AB$300,ROWS($A$7:A183)),タスク!$AB$5:$AB$300,0))),"")</f>
        <v/>
      </c>
      <c r="F183" s="53" t="str">
        <f>IFERROR(IF(SMALL(タスク!$AB$5:$AB$300,ROWS($A$7:A183))&gt;=1000000000000,"",INDEX(タスク!F$5:F$300,MATCH(SMALL(タスク!$AB$5:$AB$300,ROWS($A$7:A183)),タスク!$AB$5:$AB$300,0))),"")</f>
        <v/>
      </c>
      <c r="G183" s="53" t="str">
        <f>IFERROR(IF(SMALL(タスク!$AB$5:$AB$300,ROWS($A$7:A183))&gt;=1000000000000,"",INDEX(タスク!G$5:G$300,MATCH(SMALL(タスク!$AB$5:$AB$300,ROWS($A$7:A183)),タスク!$AB$5:$AB$300,0))),"")</f>
        <v/>
      </c>
      <c r="H183" s="53" t="str">
        <f>IFERROR(IF(SMALL(タスク!$AB$5:$AB$300,ROWS($A$7:A183))&gt;=1000000000000,"",INDEX(タスク!H$5:H$300,MATCH(SMALL(タスク!$AB$5:$AB$300,ROWS($A$7:A183)),タスク!$AB$5:$AB$300,0))),"")</f>
        <v/>
      </c>
      <c r="I183" s="53" t="str">
        <f>IFERROR(IF(SMALL(タスク!$AB$5:$AB$300,ROWS($A$7:A183))&gt;=1000000000000,"",INDEX(タスク!I$5:I$300,MATCH(SMALL(タスク!$AB$5:$AB$300,ROWS($A$7:A183)),タスク!$AB$5:$AB$300,0))),"")</f>
        <v/>
      </c>
      <c r="J183" s="53" t="str">
        <f>IFERROR(IF(SMALL(タスク!$AB$5:$AB$300,ROWS($A$7:A183))&gt;=1000000000000,"",INDEX(タスク!J$5:J$300,MATCH(SMALL(タスク!$AB$5:$AB$300,ROWS($A$7:A183)),タスク!$AB$5:$AB$300,0))),"")</f>
        <v/>
      </c>
    </row>
    <row r="184" spans="1:10">
      <c r="A184" s="53" t="str">
        <f>IFERROR(IF(SMALL(タスク!$AB$5:$AB$300,ROWS($A$7:A184))&gt;=1000000000000,"",INDEX(タスク!A$5:A$300,MATCH(SMALL(タスク!$AB$5:$AB$300,ROWS($A$7:A184)),タスク!$AB$5:$AB$300,0))),"")</f>
        <v/>
      </c>
      <c r="B184" s="53" t="str">
        <f>IFERROR(IF(SMALL(タスク!$AB$5:$AB$300,ROWS($A$7:A184))&gt;=1000000000000,"",INDEX(タスク!B$5:B$300,MATCH(SMALL(タスク!$AB$5:$AB$300,ROWS($A$7:A184)),タスク!$AB$5:$AB$300,0))),"")</f>
        <v/>
      </c>
      <c r="C184" s="53" t="str">
        <f>IFERROR(IF(SMALL(タスク!$AB$5:$AB$300,ROWS($A$7:A184))&gt;=1000000000000,"",INDEX(タスク!C$5:C$300,MATCH(SMALL(タスク!$AB$5:$AB$300,ROWS($A$7:A184)),タスク!$AB$5:$AB$300,0))),"")</f>
        <v/>
      </c>
      <c r="D184" s="53" t="str">
        <f>IFERROR(IF(SMALL(タスク!$AB$5:$AB$300,ROWS($A$7:A184))&gt;=1000000000000,"",INDEX(タスク!D$5:D$300,MATCH(SMALL(タスク!$AB$5:$AB$300,ROWS($A$7:A184)),タスク!$AB$5:$AB$300,0))),"")</f>
        <v/>
      </c>
      <c r="E184" s="53" t="str">
        <f>IFERROR(IF(SMALL(タスク!$AB$5:$AB$300,ROWS($A$7:A184))&gt;=1000000000000,"",INDEX(タスク!E$5:E$300,MATCH(SMALL(タスク!$AB$5:$AB$300,ROWS($A$7:A184)),タスク!$AB$5:$AB$300,0))),"")</f>
        <v/>
      </c>
      <c r="F184" s="53" t="str">
        <f>IFERROR(IF(SMALL(タスク!$AB$5:$AB$300,ROWS($A$7:A184))&gt;=1000000000000,"",INDEX(タスク!F$5:F$300,MATCH(SMALL(タスク!$AB$5:$AB$300,ROWS($A$7:A184)),タスク!$AB$5:$AB$300,0))),"")</f>
        <v/>
      </c>
      <c r="G184" s="53" t="str">
        <f>IFERROR(IF(SMALL(タスク!$AB$5:$AB$300,ROWS($A$7:A184))&gt;=1000000000000,"",INDEX(タスク!G$5:G$300,MATCH(SMALL(タスク!$AB$5:$AB$300,ROWS($A$7:A184)),タスク!$AB$5:$AB$300,0))),"")</f>
        <v/>
      </c>
      <c r="H184" s="53" t="str">
        <f>IFERROR(IF(SMALL(タスク!$AB$5:$AB$300,ROWS($A$7:A184))&gt;=1000000000000,"",INDEX(タスク!H$5:H$300,MATCH(SMALL(タスク!$AB$5:$AB$300,ROWS($A$7:A184)),タスク!$AB$5:$AB$300,0))),"")</f>
        <v/>
      </c>
      <c r="I184" s="53" t="str">
        <f>IFERROR(IF(SMALL(タスク!$AB$5:$AB$300,ROWS($A$7:A184))&gt;=1000000000000,"",INDEX(タスク!I$5:I$300,MATCH(SMALL(タスク!$AB$5:$AB$300,ROWS($A$7:A184)),タスク!$AB$5:$AB$300,0))),"")</f>
        <v/>
      </c>
      <c r="J184" s="53" t="str">
        <f>IFERROR(IF(SMALL(タスク!$AB$5:$AB$300,ROWS($A$7:A184))&gt;=1000000000000,"",INDEX(タスク!J$5:J$300,MATCH(SMALL(タスク!$AB$5:$AB$300,ROWS($A$7:A184)),タスク!$AB$5:$AB$300,0))),"")</f>
        <v/>
      </c>
    </row>
    <row r="185" spans="1:10">
      <c r="A185" s="53" t="str">
        <f>IFERROR(IF(SMALL(タスク!$AB$5:$AB$300,ROWS($A$7:A185))&gt;=1000000000000,"",INDEX(タスク!A$5:A$300,MATCH(SMALL(タスク!$AB$5:$AB$300,ROWS($A$7:A185)),タスク!$AB$5:$AB$300,0))),"")</f>
        <v/>
      </c>
      <c r="B185" s="53" t="str">
        <f>IFERROR(IF(SMALL(タスク!$AB$5:$AB$300,ROWS($A$7:A185))&gt;=1000000000000,"",INDEX(タスク!B$5:B$300,MATCH(SMALL(タスク!$AB$5:$AB$300,ROWS($A$7:A185)),タスク!$AB$5:$AB$300,0))),"")</f>
        <v/>
      </c>
      <c r="C185" s="53" t="str">
        <f>IFERROR(IF(SMALL(タスク!$AB$5:$AB$300,ROWS($A$7:A185))&gt;=1000000000000,"",INDEX(タスク!C$5:C$300,MATCH(SMALL(タスク!$AB$5:$AB$300,ROWS($A$7:A185)),タスク!$AB$5:$AB$300,0))),"")</f>
        <v/>
      </c>
      <c r="D185" s="53" t="str">
        <f>IFERROR(IF(SMALL(タスク!$AB$5:$AB$300,ROWS($A$7:A185))&gt;=1000000000000,"",INDEX(タスク!D$5:D$300,MATCH(SMALL(タスク!$AB$5:$AB$300,ROWS($A$7:A185)),タスク!$AB$5:$AB$300,0))),"")</f>
        <v/>
      </c>
      <c r="E185" s="53" t="str">
        <f>IFERROR(IF(SMALL(タスク!$AB$5:$AB$300,ROWS($A$7:A185))&gt;=1000000000000,"",INDEX(タスク!E$5:E$300,MATCH(SMALL(タスク!$AB$5:$AB$300,ROWS($A$7:A185)),タスク!$AB$5:$AB$300,0))),"")</f>
        <v/>
      </c>
      <c r="F185" s="53" t="str">
        <f>IFERROR(IF(SMALL(タスク!$AB$5:$AB$300,ROWS($A$7:A185))&gt;=1000000000000,"",INDEX(タスク!F$5:F$300,MATCH(SMALL(タスク!$AB$5:$AB$300,ROWS($A$7:A185)),タスク!$AB$5:$AB$300,0))),"")</f>
        <v/>
      </c>
      <c r="G185" s="53" t="str">
        <f>IFERROR(IF(SMALL(タスク!$AB$5:$AB$300,ROWS($A$7:A185))&gt;=1000000000000,"",INDEX(タスク!G$5:G$300,MATCH(SMALL(タスク!$AB$5:$AB$300,ROWS($A$7:A185)),タスク!$AB$5:$AB$300,0))),"")</f>
        <v/>
      </c>
      <c r="H185" s="53" t="str">
        <f>IFERROR(IF(SMALL(タスク!$AB$5:$AB$300,ROWS($A$7:A185))&gt;=1000000000000,"",INDEX(タスク!H$5:H$300,MATCH(SMALL(タスク!$AB$5:$AB$300,ROWS($A$7:A185)),タスク!$AB$5:$AB$300,0))),"")</f>
        <v/>
      </c>
      <c r="I185" s="53" t="str">
        <f>IFERROR(IF(SMALL(タスク!$AB$5:$AB$300,ROWS($A$7:A185))&gt;=1000000000000,"",INDEX(タスク!I$5:I$300,MATCH(SMALL(タスク!$AB$5:$AB$300,ROWS($A$7:A185)),タスク!$AB$5:$AB$300,0))),"")</f>
        <v/>
      </c>
      <c r="J185" s="53" t="str">
        <f>IFERROR(IF(SMALL(タスク!$AB$5:$AB$300,ROWS($A$7:A185))&gt;=1000000000000,"",INDEX(タスク!J$5:J$300,MATCH(SMALL(タスク!$AB$5:$AB$300,ROWS($A$7:A185)),タスク!$AB$5:$AB$300,0))),"")</f>
        <v/>
      </c>
    </row>
    <row r="186" spans="1:10">
      <c r="A186" s="53" t="str">
        <f>IFERROR(IF(SMALL(タスク!$AB$5:$AB$300,ROWS($A$7:A186))&gt;=1000000000000,"",INDEX(タスク!A$5:A$300,MATCH(SMALL(タスク!$AB$5:$AB$300,ROWS($A$7:A186)),タスク!$AB$5:$AB$300,0))),"")</f>
        <v/>
      </c>
      <c r="B186" s="53" t="str">
        <f>IFERROR(IF(SMALL(タスク!$AB$5:$AB$300,ROWS($A$7:A186))&gt;=1000000000000,"",INDEX(タスク!B$5:B$300,MATCH(SMALL(タスク!$AB$5:$AB$300,ROWS($A$7:A186)),タスク!$AB$5:$AB$300,0))),"")</f>
        <v/>
      </c>
      <c r="C186" s="53" t="str">
        <f>IFERROR(IF(SMALL(タスク!$AB$5:$AB$300,ROWS($A$7:A186))&gt;=1000000000000,"",INDEX(タスク!C$5:C$300,MATCH(SMALL(タスク!$AB$5:$AB$300,ROWS($A$7:A186)),タスク!$AB$5:$AB$300,0))),"")</f>
        <v/>
      </c>
      <c r="D186" s="53" t="str">
        <f>IFERROR(IF(SMALL(タスク!$AB$5:$AB$300,ROWS($A$7:A186))&gt;=1000000000000,"",INDEX(タスク!D$5:D$300,MATCH(SMALL(タスク!$AB$5:$AB$300,ROWS($A$7:A186)),タスク!$AB$5:$AB$300,0))),"")</f>
        <v/>
      </c>
      <c r="E186" s="53" t="str">
        <f>IFERROR(IF(SMALL(タスク!$AB$5:$AB$300,ROWS($A$7:A186))&gt;=1000000000000,"",INDEX(タスク!E$5:E$300,MATCH(SMALL(タスク!$AB$5:$AB$300,ROWS($A$7:A186)),タスク!$AB$5:$AB$300,0))),"")</f>
        <v/>
      </c>
      <c r="F186" s="53" t="str">
        <f>IFERROR(IF(SMALL(タスク!$AB$5:$AB$300,ROWS($A$7:A186))&gt;=1000000000000,"",INDEX(タスク!F$5:F$300,MATCH(SMALL(タスク!$AB$5:$AB$300,ROWS($A$7:A186)),タスク!$AB$5:$AB$300,0))),"")</f>
        <v/>
      </c>
      <c r="G186" s="53" t="str">
        <f>IFERROR(IF(SMALL(タスク!$AB$5:$AB$300,ROWS($A$7:A186))&gt;=1000000000000,"",INDEX(タスク!G$5:G$300,MATCH(SMALL(タスク!$AB$5:$AB$300,ROWS($A$7:A186)),タスク!$AB$5:$AB$300,0))),"")</f>
        <v/>
      </c>
      <c r="H186" s="53" t="str">
        <f>IFERROR(IF(SMALL(タスク!$AB$5:$AB$300,ROWS($A$7:A186))&gt;=1000000000000,"",INDEX(タスク!H$5:H$300,MATCH(SMALL(タスク!$AB$5:$AB$300,ROWS($A$7:A186)),タスク!$AB$5:$AB$300,0))),"")</f>
        <v/>
      </c>
      <c r="I186" s="53" t="str">
        <f>IFERROR(IF(SMALL(タスク!$AB$5:$AB$300,ROWS($A$7:A186))&gt;=1000000000000,"",INDEX(タスク!I$5:I$300,MATCH(SMALL(タスク!$AB$5:$AB$300,ROWS($A$7:A186)),タスク!$AB$5:$AB$300,0))),"")</f>
        <v/>
      </c>
      <c r="J186" s="53" t="str">
        <f>IFERROR(IF(SMALL(タスク!$AB$5:$AB$300,ROWS($A$7:A186))&gt;=1000000000000,"",INDEX(タスク!J$5:J$300,MATCH(SMALL(タスク!$AB$5:$AB$300,ROWS($A$7:A186)),タスク!$AB$5:$AB$300,0))),"")</f>
        <v/>
      </c>
    </row>
    <row r="187" spans="1:10">
      <c r="A187" s="53" t="str">
        <f>IFERROR(IF(SMALL(タスク!$AB$5:$AB$300,ROWS($A$7:A187))&gt;=1000000000000,"",INDEX(タスク!A$5:A$300,MATCH(SMALL(タスク!$AB$5:$AB$300,ROWS($A$7:A187)),タスク!$AB$5:$AB$300,0))),"")</f>
        <v/>
      </c>
      <c r="B187" s="53" t="str">
        <f>IFERROR(IF(SMALL(タスク!$AB$5:$AB$300,ROWS($A$7:A187))&gt;=1000000000000,"",INDEX(タスク!B$5:B$300,MATCH(SMALL(タスク!$AB$5:$AB$300,ROWS($A$7:A187)),タスク!$AB$5:$AB$300,0))),"")</f>
        <v/>
      </c>
      <c r="C187" s="53" t="str">
        <f>IFERROR(IF(SMALL(タスク!$AB$5:$AB$300,ROWS($A$7:A187))&gt;=1000000000000,"",INDEX(タスク!C$5:C$300,MATCH(SMALL(タスク!$AB$5:$AB$300,ROWS($A$7:A187)),タスク!$AB$5:$AB$300,0))),"")</f>
        <v/>
      </c>
      <c r="D187" s="53" t="str">
        <f>IFERROR(IF(SMALL(タスク!$AB$5:$AB$300,ROWS($A$7:A187))&gt;=1000000000000,"",INDEX(タスク!D$5:D$300,MATCH(SMALL(タスク!$AB$5:$AB$300,ROWS($A$7:A187)),タスク!$AB$5:$AB$300,0))),"")</f>
        <v/>
      </c>
      <c r="E187" s="53" t="str">
        <f>IFERROR(IF(SMALL(タスク!$AB$5:$AB$300,ROWS($A$7:A187))&gt;=1000000000000,"",INDEX(タスク!E$5:E$300,MATCH(SMALL(タスク!$AB$5:$AB$300,ROWS($A$7:A187)),タスク!$AB$5:$AB$300,0))),"")</f>
        <v/>
      </c>
      <c r="F187" s="53" t="str">
        <f>IFERROR(IF(SMALL(タスク!$AB$5:$AB$300,ROWS($A$7:A187))&gt;=1000000000000,"",INDEX(タスク!F$5:F$300,MATCH(SMALL(タスク!$AB$5:$AB$300,ROWS($A$7:A187)),タスク!$AB$5:$AB$300,0))),"")</f>
        <v/>
      </c>
      <c r="G187" s="53" t="str">
        <f>IFERROR(IF(SMALL(タスク!$AB$5:$AB$300,ROWS($A$7:A187))&gt;=1000000000000,"",INDEX(タスク!G$5:G$300,MATCH(SMALL(タスク!$AB$5:$AB$300,ROWS($A$7:A187)),タスク!$AB$5:$AB$300,0))),"")</f>
        <v/>
      </c>
      <c r="H187" s="53" t="str">
        <f>IFERROR(IF(SMALL(タスク!$AB$5:$AB$300,ROWS($A$7:A187))&gt;=1000000000000,"",INDEX(タスク!H$5:H$300,MATCH(SMALL(タスク!$AB$5:$AB$300,ROWS($A$7:A187)),タスク!$AB$5:$AB$300,0))),"")</f>
        <v/>
      </c>
      <c r="I187" s="53" t="str">
        <f>IFERROR(IF(SMALL(タスク!$AB$5:$AB$300,ROWS($A$7:A187))&gt;=1000000000000,"",INDEX(タスク!I$5:I$300,MATCH(SMALL(タスク!$AB$5:$AB$300,ROWS($A$7:A187)),タスク!$AB$5:$AB$300,0))),"")</f>
        <v/>
      </c>
      <c r="J187" s="53" t="str">
        <f>IFERROR(IF(SMALL(タスク!$AB$5:$AB$300,ROWS($A$7:A187))&gt;=1000000000000,"",INDEX(タスク!J$5:J$300,MATCH(SMALL(タスク!$AB$5:$AB$300,ROWS($A$7:A187)),タスク!$AB$5:$AB$300,0))),"")</f>
        <v/>
      </c>
    </row>
    <row r="188" spans="1:10">
      <c r="A188" s="53" t="str">
        <f>IFERROR(IF(SMALL(タスク!$AB$5:$AB$300,ROWS($A$7:A188))&gt;=1000000000000,"",INDEX(タスク!A$5:A$300,MATCH(SMALL(タスク!$AB$5:$AB$300,ROWS($A$7:A188)),タスク!$AB$5:$AB$300,0))),"")</f>
        <v/>
      </c>
      <c r="B188" s="53" t="str">
        <f>IFERROR(IF(SMALL(タスク!$AB$5:$AB$300,ROWS($A$7:A188))&gt;=1000000000000,"",INDEX(タスク!B$5:B$300,MATCH(SMALL(タスク!$AB$5:$AB$300,ROWS($A$7:A188)),タスク!$AB$5:$AB$300,0))),"")</f>
        <v/>
      </c>
      <c r="C188" s="53" t="str">
        <f>IFERROR(IF(SMALL(タスク!$AB$5:$AB$300,ROWS($A$7:A188))&gt;=1000000000000,"",INDEX(タスク!C$5:C$300,MATCH(SMALL(タスク!$AB$5:$AB$300,ROWS($A$7:A188)),タスク!$AB$5:$AB$300,0))),"")</f>
        <v/>
      </c>
      <c r="D188" s="53" t="str">
        <f>IFERROR(IF(SMALL(タスク!$AB$5:$AB$300,ROWS($A$7:A188))&gt;=1000000000000,"",INDEX(タスク!D$5:D$300,MATCH(SMALL(タスク!$AB$5:$AB$300,ROWS($A$7:A188)),タスク!$AB$5:$AB$300,0))),"")</f>
        <v/>
      </c>
      <c r="E188" s="53" t="str">
        <f>IFERROR(IF(SMALL(タスク!$AB$5:$AB$300,ROWS($A$7:A188))&gt;=1000000000000,"",INDEX(タスク!E$5:E$300,MATCH(SMALL(タスク!$AB$5:$AB$300,ROWS($A$7:A188)),タスク!$AB$5:$AB$300,0))),"")</f>
        <v/>
      </c>
      <c r="F188" s="53" t="str">
        <f>IFERROR(IF(SMALL(タスク!$AB$5:$AB$300,ROWS($A$7:A188))&gt;=1000000000000,"",INDEX(タスク!F$5:F$300,MATCH(SMALL(タスク!$AB$5:$AB$300,ROWS($A$7:A188)),タスク!$AB$5:$AB$300,0))),"")</f>
        <v/>
      </c>
      <c r="G188" s="53" t="str">
        <f>IFERROR(IF(SMALL(タスク!$AB$5:$AB$300,ROWS($A$7:A188))&gt;=1000000000000,"",INDEX(タスク!G$5:G$300,MATCH(SMALL(タスク!$AB$5:$AB$300,ROWS($A$7:A188)),タスク!$AB$5:$AB$300,0))),"")</f>
        <v/>
      </c>
      <c r="H188" s="53" t="str">
        <f>IFERROR(IF(SMALL(タスク!$AB$5:$AB$300,ROWS($A$7:A188))&gt;=1000000000000,"",INDEX(タスク!H$5:H$300,MATCH(SMALL(タスク!$AB$5:$AB$300,ROWS($A$7:A188)),タスク!$AB$5:$AB$300,0))),"")</f>
        <v/>
      </c>
      <c r="I188" s="53" t="str">
        <f>IFERROR(IF(SMALL(タスク!$AB$5:$AB$300,ROWS($A$7:A188))&gt;=1000000000000,"",INDEX(タスク!I$5:I$300,MATCH(SMALL(タスク!$AB$5:$AB$300,ROWS($A$7:A188)),タスク!$AB$5:$AB$300,0))),"")</f>
        <v/>
      </c>
      <c r="J188" s="53" t="str">
        <f>IFERROR(IF(SMALL(タスク!$AB$5:$AB$300,ROWS($A$7:A188))&gt;=1000000000000,"",INDEX(タスク!J$5:J$300,MATCH(SMALL(タスク!$AB$5:$AB$300,ROWS($A$7:A188)),タスク!$AB$5:$AB$300,0))),"")</f>
        <v/>
      </c>
    </row>
    <row r="189" spans="1:10">
      <c r="A189" s="53" t="str">
        <f>IFERROR(IF(SMALL(タスク!$AB$5:$AB$300,ROWS($A$7:A189))&gt;=1000000000000,"",INDEX(タスク!A$5:A$300,MATCH(SMALL(タスク!$AB$5:$AB$300,ROWS($A$7:A189)),タスク!$AB$5:$AB$300,0))),"")</f>
        <v/>
      </c>
      <c r="B189" s="53" t="str">
        <f>IFERROR(IF(SMALL(タスク!$AB$5:$AB$300,ROWS($A$7:A189))&gt;=1000000000000,"",INDEX(タスク!B$5:B$300,MATCH(SMALL(タスク!$AB$5:$AB$300,ROWS($A$7:A189)),タスク!$AB$5:$AB$300,0))),"")</f>
        <v/>
      </c>
      <c r="C189" s="53" t="str">
        <f>IFERROR(IF(SMALL(タスク!$AB$5:$AB$300,ROWS($A$7:A189))&gt;=1000000000000,"",INDEX(タスク!C$5:C$300,MATCH(SMALL(タスク!$AB$5:$AB$300,ROWS($A$7:A189)),タスク!$AB$5:$AB$300,0))),"")</f>
        <v/>
      </c>
      <c r="D189" s="53" t="str">
        <f>IFERROR(IF(SMALL(タスク!$AB$5:$AB$300,ROWS($A$7:A189))&gt;=1000000000000,"",INDEX(タスク!D$5:D$300,MATCH(SMALL(タスク!$AB$5:$AB$300,ROWS($A$7:A189)),タスク!$AB$5:$AB$300,0))),"")</f>
        <v/>
      </c>
      <c r="E189" s="53" t="str">
        <f>IFERROR(IF(SMALL(タスク!$AB$5:$AB$300,ROWS($A$7:A189))&gt;=1000000000000,"",INDEX(タスク!E$5:E$300,MATCH(SMALL(タスク!$AB$5:$AB$300,ROWS($A$7:A189)),タスク!$AB$5:$AB$300,0))),"")</f>
        <v/>
      </c>
      <c r="F189" s="53" t="str">
        <f>IFERROR(IF(SMALL(タスク!$AB$5:$AB$300,ROWS($A$7:A189))&gt;=1000000000000,"",INDEX(タスク!F$5:F$300,MATCH(SMALL(タスク!$AB$5:$AB$300,ROWS($A$7:A189)),タスク!$AB$5:$AB$300,0))),"")</f>
        <v/>
      </c>
      <c r="G189" s="53" t="str">
        <f>IFERROR(IF(SMALL(タスク!$AB$5:$AB$300,ROWS($A$7:A189))&gt;=1000000000000,"",INDEX(タスク!G$5:G$300,MATCH(SMALL(タスク!$AB$5:$AB$300,ROWS($A$7:A189)),タスク!$AB$5:$AB$300,0))),"")</f>
        <v/>
      </c>
      <c r="H189" s="53" t="str">
        <f>IFERROR(IF(SMALL(タスク!$AB$5:$AB$300,ROWS($A$7:A189))&gt;=1000000000000,"",INDEX(タスク!H$5:H$300,MATCH(SMALL(タスク!$AB$5:$AB$300,ROWS($A$7:A189)),タスク!$AB$5:$AB$300,0))),"")</f>
        <v/>
      </c>
      <c r="I189" s="53" t="str">
        <f>IFERROR(IF(SMALL(タスク!$AB$5:$AB$300,ROWS($A$7:A189))&gt;=1000000000000,"",INDEX(タスク!I$5:I$300,MATCH(SMALL(タスク!$AB$5:$AB$300,ROWS($A$7:A189)),タスク!$AB$5:$AB$300,0))),"")</f>
        <v/>
      </c>
      <c r="J189" s="53" t="str">
        <f>IFERROR(IF(SMALL(タスク!$AB$5:$AB$300,ROWS($A$7:A189))&gt;=1000000000000,"",INDEX(タスク!J$5:J$300,MATCH(SMALL(タスク!$AB$5:$AB$300,ROWS($A$7:A189)),タスク!$AB$5:$AB$300,0))),"")</f>
        <v/>
      </c>
    </row>
    <row r="190" spans="1:10">
      <c r="A190" s="53" t="str">
        <f>IFERROR(IF(SMALL(タスク!$AB$5:$AB$300,ROWS($A$7:A190))&gt;=1000000000000,"",INDEX(タスク!A$5:A$300,MATCH(SMALL(タスク!$AB$5:$AB$300,ROWS($A$7:A190)),タスク!$AB$5:$AB$300,0))),"")</f>
        <v/>
      </c>
      <c r="B190" s="53" t="str">
        <f>IFERROR(IF(SMALL(タスク!$AB$5:$AB$300,ROWS($A$7:A190))&gt;=1000000000000,"",INDEX(タスク!B$5:B$300,MATCH(SMALL(タスク!$AB$5:$AB$300,ROWS($A$7:A190)),タスク!$AB$5:$AB$300,0))),"")</f>
        <v/>
      </c>
      <c r="C190" s="53" t="str">
        <f>IFERROR(IF(SMALL(タスク!$AB$5:$AB$300,ROWS($A$7:A190))&gt;=1000000000000,"",INDEX(タスク!C$5:C$300,MATCH(SMALL(タスク!$AB$5:$AB$300,ROWS($A$7:A190)),タスク!$AB$5:$AB$300,0))),"")</f>
        <v/>
      </c>
      <c r="D190" s="53" t="str">
        <f>IFERROR(IF(SMALL(タスク!$AB$5:$AB$300,ROWS($A$7:A190))&gt;=1000000000000,"",INDEX(タスク!D$5:D$300,MATCH(SMALL(タスク!$AB$5:$AB$300,ROWS($A$7:A190)),タスク!$AB$5:$AB$300,0))),"")</f>
        <v/>
      </c>
      <c r="E190" s="53" t="str">
        <f>IFERROR(IF(SMALL(タスク!$AB$5:$AB$300,ROWS($A$7:A190))&gt;=1000000000000,"",INDEX(タスク!E$5:E$300,MATCH(SMALL(タスク!$AB$5:$AB$300,ROWS($A$7:A190)),タスク!$AB$5:$AB$300,0))),"")</f>
        <v/>
      </c>
      <c r="F190" s="53" t="str">
        <f>IFERROR(IF(SMALL(タスク!$AB$5:$AB$300,ROWS($A$7:A190))&gt;=1000000000000,"",INDEX(タスク!F$5:F$300,MATCH(SMALL(タスク!$AB$5:$AB$300,ROWS($A$7:A190)),タスク!$AB$5:$AB$300,0))),"")</f>
        <v/>
      </c>
      <c r="G190" s="53" t="str">
        <f>IFERROR(IF(SMALL(タスク!$AB$5:$AB$300,ROWS($A$7:A190))&gt;=1000000000000,"",INDEX(タスク!G$5:G$300,MATCH(SMALL(タスク!$AB$5:$AB$300,ROWS($A$7:A190)),タスク!$AB$5:$AB$300,0))),"")</f>
        <v/>
      </c>
      <c r="H190" s="53" t="str">
        <f>IFERROR(IF(SMALL(タスク!$AB$5:$AB$300,ROWS($A$7:A190))&gt;=1000000000000,"",INDEX(タスク!H$5:H$300,MATCH(SMALL(タスク!$AB$5:$AB$300,ROWS($A$7:A190)),タスク!$AB$5:$AB$300,0))),"")</f>
        <v/>
      </c>
      <c r="I190" s="53" t="str">
        <f>IFERROR(IF(SMALL(タスク!$AB$5:$AB$300,ROWS($A$7:A190))&gt;=1000000000000,"",INDEX(タスク!I$5:I$300,MATCH(SMALL(タスク!$AB$5:$AB$300,ROWS($A$7:A190)),タスク!$AB$5:$AB$300,0))),"")</f>
        <v/>
      </c>
      <c r="J190" s="53" t="str">
        <f>IFERROR(IF(SMALL(タスク!$AB$5:$AB$300,ROWS($A$7:A190))&gt;=1000000000000,"",INDEX(タスク!J$5:J$300,MATCH(SMALL(タスク!$AB$5:$AB$300,ROWS($A$7:A190)),タスク!$AB$5:$AB$300,0))),"")</f>
        <v/>
      </c>
    </row>
    <row r="191" spans="1:10">
      <c r="A191" s="53" t="str">
        <f>IFERROR(IF(SMALL(タスク!$AB$5:$AB$300,ROWS($A$7:A191))&gt;=1000000000000,"",INDEX(タスク!A$5:A$300,MATCH(SMALL(タスク!$AB$5:$AB$300,ROWS($A$7:A191)),タスク!$AB$5:$AB$300,0))),"")</f>
        <v/>
      </c>
      <c r="B191" s="53" t="str">
        <f>IFERROR(IF(SMALL(タスク!$AB$5:$AB$300,ROWS($A$7:A191))&gt;=1000000000000,"",INDEX(タスク!B$5:B$300,MATCH(SMALL(タスク!$AB$5:$AB$300,ROWS($A$7:A191)),タスク!$AB$5:$AB$300,0))),"")</f>
        <v/>
      </c>
      <c r="C191" s="53" t="str">
        <f>IFERROR(IF(SMALL(タスク!$AB$5:$AB$300,ROWS($A$7:A191))&gt;=1000000000000,"",INDEX(タスク!C$5:C$300,MATCH(SMALL(タスク!$AB$5:$AB$300,ROWS($A$7:A191)),タスク!$AB$5:$AB$300,0))),"")</f>
        <v/>
      </c>
      <c r="D191" s="53" t="str">
        <f>IFERROR(IF(SMALL(タスク!$AB$5:$AB$300,ROWS($A$7:A191))&gt;=1000000000000,"",INDEX(タスク!D$5:D$300,MATCH(SMALL(タスク!$AB$5:$AB$300,ROWS($A$7:A191)),タスク!$AB$5:$AB$300,0))),"")</f>
        <v/>
      </c>
      <c r="E191" s="53" t="str">
        <f>IFERROR(IF(SMALL(タスク!$AB$5:$AB$300,ROWS($A$7:A191))&gt;=1000000000000,"",INDEX(タスク!E$5:E$300,MATCH(SMALL(タスク!$AB$5:$AB$300,ROWS($A$7:A191)),タスク!$AB$5:$AB$300,0))),"")</f>
        <v/>
      </c>
      <c r="F191" s="53" t="str">
        <f>IFERROR(IF(SMALL(タスク!$AB$5:$AB$300,ROWS($A$7:A191))&gt;=1000000000000,"",INDEX(タスク!F$5:F$300,MATCH(SMALL(タスク!$AB$5:$AB$300,ROWS($A$7:A191)),タスク!$AB$5:$AB$300,0))),"")</f>
        <v/>
      </c>
      <c r="G191" s="53" t="str">
        <f>IFERROR(IF(SMALL(タスク!$AB$5:$AB$300,ROWS($A$7:A191))&gt;=1000000000000,"",INDEX(タスク!G$5:G$300,MATCH(SMALL(タスク!$AB$5:$AB$300,ROWS($A$7:A191)),タスク!$AB$5:$AB$300,0))),"")</f>
        <v/>
      </c>
      <c r="H191" s="53" t="str">
        <f>IFERROR(IF(SMALL(タスク!$AB$5:$AB$300,ROWS($A$7:A191))&gt;=1000000000000,"",INDEX(タスク!H$5:H$300,MATCH(SMALL(タスク!$AB$5:$AB$300,ROWS($A$7:A191)),タスク!$AB$5:$AB$300,0))),"")</f>
        <v/>
      </c>
      <c r="I191" s="53" t="str">
        <f>IFERROR(IF(SMALL(タスク!$AB$5:$AB$300,ROWS($A$7:A191))&gt;=1000000000000,"",INDEX(タスク!I$5:I$300,MATCH(SMALL(タスク!$AB$5:$AB$300,ROWS($A$7:A191)),タスク!$AB$5:$AB$300,0))),"")</f>
        <v/>
      </c>
      <c r="J191" s="53" t="str">
        <f>IFERROR(IF(SMALL(タスク!$AB$5:$AB$300,ROWS($A$7:A191))&gt;=1000000000000,"",INDEX(タスク!J$5:J$300,MATCH(SMALL(タスク!$AB$5:$AB$300,ROWS($A$7:A191)),タスク!$AB$5:$AB$300,0))),"")</f>
        <v/>
      </c>
    </row>
    <row r="192" spans="1:10">
      <c r="A192" s="53" t="str">
        <f>IFERROR(IF(SMALL(タスク!$AB$5:$AB$300,ROWS($A$7:A192))&gt;=1000000000000,"",INDEX(タスク!A$5:A$300,MATCH(SMALL(タスク!$AB$5:$AB$300,ROWS($A$7:A192)),タスク!$AB$5:$AB$300,0))),"")</f>
        <v/>
      </c>
      <c r="B192" s="53" t="str">
        <f>IFERROR(IF(SMALL(タスク!$AB$5:$AB$300,ROWS($A$7:A192))&gt;=1000000000000,"",INDEX(タスク!B$5:B$300,MATCH(SMALL(タスク!$AB$5:$AB$300,ROWS($A$7:A192)),タスク!$AB$5:$AB$300,0))),"")</f>
        <v/>
      </c>
      <c r="C192" s="53" t="str">
        <f>IFERROR(IF(SMALL(タスク!$AB$5:$AB$300,ROWS($A$7:A192))&gt;=1000000000000,"",INDEX(タスク!C$5:C$300,MATCH(SMALL(タスク!$AB$5:$AB$300,ROWS($A$7:A192)),タスク!$AB$5:$AB$300,0))),"")</f>
        <v/>
      </c>
      <c r="D192" s="53" t="str">
        <f>IFERROR(IF(SMALL(タスク!$AB$5:$AB$300,ROWS($A$7:A192))&gt;=1000000000000,"",INDEX(タスク!D$5:D$300,MATCH(SMALL(タスク!$AB$5:$AB$300,ROWS($A$7:A192)),タスク!$AB$5:$AB$300,0))),"")</f>
        <v/>
      </c>
      <c r="E192" s="53" t="str">
        <f>IFERROR(IF(SMALL(タスク!$AB$5:$AB$300,ROWS($A$7:A192))&gt;=1000000000000,"",INDEX(タスク!E$5:E$300,MATCH(SMALL(タスク!$AB$5:$AB$300,ROWS($A$7:A192)),タスク!$AB$5:$AB$300,0))),"")</f>
        <v/>
      </c>
      <c r="F192" s="53" t="str">
        <f>IFERROR(IF(SMALL(タスク!$AB$5:$AB$300,ROWS($A$7:A192))&gt;=1000000000000,"",INDEX(タスク!F$5:F$300,MATCH(SMALL(タスク!$AB$5:$AB$300,ROWS($A$7:A192)),タスク!$AB$5:$AB$300,0))),"")</f>
        <v/>
      </c>
      <c r="G192" s="53" t="str">
        <f>IFERROR(IF(SMALL(タスク!$AB$5:$AB$300,ROWS($A$7:A192))&gt;=1000000000000,"",INDEX(タスク!G$5:G$300,MATCH(SMALL(タスク!$AB$5:$AB$300,ROWS($A$7:A192)),タスク!$AB$5:$AB$300,0))),"")</f>
        <v/>
      </c>
      <c r="H192" s="53" t="str">
        <f>IFERROR(IF(SMALL(タスク!$AB$5:$AB$300,ROWS($A$7:A192))&gt;=1000000000000,"",INDEX(タスク!H$5:H$300,MATCH(SMALL(タスク!$AB$5:$AB$300,ROWS($A$7:A192)),タスク!$AB$5:$AB$300,0))),"")</f>
        <v/>
      </c>
      <c r="I192" s="53" t="str">
        <f>IFERROR(IF(SMALL(タスク!$AB$5:$AB$300,ROWS($A$7:A192))&gt;=1000000000000,"",INDEX(タスク!I$5:I$300,MATCH(SMALL(タスク!$AB$5:$AB$300,ROWS($A$7:A192)),タスク!$AB$5:$AB$300,0))),"")</f>
        <v/>
      </c>
      <c r="J192" s="53" t="str">
        <f>IFERROR(IF(SMALL(タスク!$AB$5:$AB$300,ROWS($A$7:A192))&gt;=1000000000000,"",INDEX(タスク!J$5:J$300,MATCH(SMALL(タスク!$AB$5:$AB$300,ROWS($A$7:A192)),タスク!$AB$5:$AB$300,0))),"")</f>
        <v/>
      </c>
    </row>
    <row r="193" spans="1:10">
      <c r="A193" s="53" t="str">
        <f>IFERROR(IF(SMALL(タスク!$AB$5:$AB$300,ROWS($A$7:A193))&gt;=1000000000000,"",INDEX(タスク!A$5:A$300,MATCH(SMALL(タスク!$AB$5:$AB$300,ROWS($A$7:A193)),タスク!$AB$5:$AB$300,0))),"")</f>
        <v/>
      </c>
      <c r="B193" s="53" t="str">
        <f>IFERROR(IF(SMALL(タスク!$AB$5:$AB$300,ROWS($A$7:A193))&gt;=1000000000000,"",INDEX(タスク!B$5:B$300,MATCH(SMALL(タスク!$AB$5:$AB$300,ROWS($A$7:A193)),タスク!$AB$5:$AB$300,0))),"")</f>
        <v/>
      </c>
      <c r="C193" s="53" t="str">
        <f>IFERROR(IF(SMALL(タスク!$AB$5:$AB$300,ROWS($A$7:A193))&gt;=1000000000000,"",INDEX(タスク!C$5:C$300,MATCH(SMALL(タスク!$AB$5:$AB$300,ROWS($A$7:A193)),タスク!$AB$5:$AB$300,0))),"")</f>
        <v/>
      </c>
      <c r="D193" s="53" t="str">
        <f>IFERROR(IF(SMALL(タスク!$AB$5:$AB$300,ROWS($A$7:A193))&gt;=1000000000000,"",INDEX(タスク!D$5:D$300,MATCH(SMALL(タスク!$AB$5:$AB$300,ROWS($A$7:A193)),タスク!$AB$5:$AB$300,0))),"")</f>
        <v/>
      </c>
      <c r="E193" s="53" t="str">
        <f>IFERROR(IF(SMALL(タスク!$AB$5:$AB$300,ROWS($A$7:A193))&gt;=1000000000000,"",INDEX(タスク!E$5:E$300,MATCH(SMALL(タスク!$AB$5:$AB$300,ROWS($A$7:A193)),タスク!$AB$5:$AB$300,0))),"")</f>
        <v/>
      </c>
      <c r="F193" s="53" t="str">
        <f>IFERROR(IF(SMALL(タスク!$AB$5:$AB$300,ROWS($A$7:A193))&gt;=1000000000000,"",INDEX(タスク!F$5:F$300,MATCH(SMALL(タスク!$AB$5:$AB$300,ROWS($A$7:A193)),タスク!$AB$5:$AB$300,0))),"")</f>
        <v/>
      </c>
      <c r="G193" s="53" t="str">
        <f>IFERROR(IF(SMALL(タスク!$AB$5:$AB$300,ROWS($A$7:A193))&gt;=1000000000000,"",INDEX(タスク!G$5:G$300,MATCH(SMALL(タスク!$AB$5:$AB$300,ROWS($A$7:A193)),タスク!$AB$5:$AB$300,0))),"")</f>
        <v/>
      </c>
      <c r="H193" s="53" t="str">
        <f>IFERROR(IF(SMALL(タスク!$AB$5:$AB$300,ROWS($A$7:A193))&gt;=1000000000000,"",INDEX(タスク!H$5:H$300,MATCH(SMALL(タスク!$AB$5:$AB$300,ROWS($A$7:A193)),タスク!$AB$5:$AB$300,0))),"")</f>
        <v/>
      </c>
      <c r="I193" s="53" t="str">
        <f>IFERROR(IF(SMALL(タスク!$AB$5:$AB$300,ROWS($A$7:A193))&gt;=1000000000000,"",INDEX(タスク!I$5:I$300,MATCH(SMALL(タスク!$AB$5:$AB$300,ROWS($A$7:A193)),タスク!$AB$5:$AB$300,0))),"")</f>
        <v/>
      </c>
      <c r="J193" s="53" t="str">
        <f>IFERROR(IF(SMALL(タスク!$AB$5:$AB$300,ROWS($A$7:A193))&gt;=1000000000000,"",INDEX(タスク!J$5:J$300,MATCH(SMALL(タスク!$AB$5:$AB$300,ROWS($A$7:A193)),タスク!$AB$5:$AB$300,0))),"")</f>
        <v/>
      </c>
    </row>
    <row r="194" spans="1:10">
      <c r="A194" s="53" t="str">
        <f>IFERROR(IF(SMALL(タスク!$AB$5:$AB$300,ROWS($A$7:A194))&gt;=1000000000000,"",INDEX(タスク!A$5:A$300,MATCH(SMALL(タスク!$AB$5:$AB$300,ROWS($A$7:A194)),タスク!$AB$5:$AB$300,0))),"")</f>
        <v/>
      </c>
      <c r="B194" s="53" t="str">
        <f>IFERROR(IF(SMALL(タスク!$AB$5:$AB$300,ROWS($A$7:A194))&gt;=1000000000000,"",INDEX(タスク!B$5:B$300,MATCH(SMALL(タスク!$AB$5:$AB$300,ROWS($A$7:A194)),タスク!$AB$5:$AB$300,0))),"")</f>
        <v/>
      </c>
      <c r="C194" s="53" t="str">
        <f>IFERROR(IF(SMALL(タスク!$AB$5:$AB$300,ROWS($A$7:A194))&gt;=1000000000000,"",INDEX(タスク!C$5:C$300,MATCH(SMALL(タスク!$AB$5:$AB$300,ROWS($A$7:A194)),タスク!$AB$5:$AB$300,0))),"")</f>
        <v/>
      </c>
      <c r="D194" s="53" t="str">
        <f>IFERROR(IF(SMALL(タスク!$AB$5:$AB$300,ROWS($A$7:A194))&gt;=1000000000000,"",INDEX(タスク!D$5:D$300,MATCH(SMALL(タスク!$AB$5:$AB$300,ROWS($A$7:A194)),タスク!$AB$5:$AB$300,0))),"")</f>
        <v/>
      </c>
      <c r="E194" s="53" t="str">
        <f>IFERROR(IF(SMALL(タスク!$AB$5:$AB$300,ROWS($A$7:A194))&gt;=1000000000000,"",INDEX(タスク!E$5:E$300,MATCH(SMALL(タスク!$AB$5:$AB$300,ROWS($A$7:A194)),タスク!$AB$5:$AB$300,0))),"")</f>
        <v/>
      </c>
      <c r="F194" s="53" t="str">
        <f>IFERROR(IF(SMALL(タスク!$AB$5:$AB$300,ROWS($A$7:A194))&gt;=1000000000000,"",INDEX(タスク!F$5:F$300,MATCH(SMALL(タスク!$AB$5:$AB$300,ROWS($A$7:A194)),タスク!$AB$5:$AB$300,0))),"")</f>
        <v/>
      </c>
      <c r="G194" s="53" t="str">
        <f>IFERROR(IF(SMALL(タスク!$AB$5:$AB$300,ROWS($A$7:A194))&gt;=1000000000000,"",INDEX(タスク!G$5:G$300,MATCH(SMALL(タスク!$AB$5:$AB$300,ROWS($A$7:A194)),タスク!$AB$5:$AB$300,0))),"")</f>
        <v/>
      </c>
      <c r="H194" s="53" t="str">
        <f>IFERROR(IF(SMALL(タスク!$AB$5:$AB$300,ROWS($A$7:A194))&gt;=1000000000000,"",INDEX(タスク!H$5:H$300,MATCH(SMALL(タスク!$AB$5:$AB$300,ROWS($A$7:A194)),タスク!$AB$5:$AB$300,0))),"")</f>
        <v/>
      </c>
      <c r="I194" s="53" t="str">
        <f>IFERROR(IF(SMALL(タスク!$AB$5:$AB$300,ROWS($A$7:A194))&gt;=1000000000000,"",INDEX(タスク!I$5:I$300,MATCH(SMALL(タスク!$AB$5:$AB$300,ROWS($A$7:A194)),タスク!$AB$5:$AB$300,0))),"")</f>
        <v/>
      </c>
      <c r="J194" s="53" t="str">
        <f>IFERROR(IF(SMALL(タスク!$AB$5:$AB$300,ROWS($A$7:A194))&gt;=1000000000000,"",INDEX(タスク!J$5:J$300,MATCH(SMALL(タスク!$AB$5:$AB$300,ROWS($A$7:A194)),タスク!$AB$5:$AB$300,0))),"")</f>
        <v/>
      </c>
    </row>
    <row r="195" spans="1:10">
      <c r="A195" s="53" t="str">
        <f>IFERROR(IF(SMALL(タスク!$AB$5:$AB$300,ROWS($A$7:A195))&gt;=1000000000000,"",INDEX(タスク!A$5:A$300,MATCH(SMALL(タスク!$AB$5:$AB$300,ROWS($A$7:A195)),タスク!$AB$5:$AB$300,0))),"")</f>
        <v/>
      </c>
      <c r="B195" s="53" t="str">
        <f>IFERROR(IF(SMALL(タスク!$AB$5:$AB$300,ROWS($A$7:A195))&gt;=1000000000000,"",INDEX(タスク!B$5:B$300,MATCH(SMALL(タスク!$AB$5:$AB$300,ROWS($A$7:A195)),タスク!$AB$5:$AB$300,0))),"")</f>
        <v/>
      </c>
      <c r="C195" s="53" t="str">
        <f>IFERROR(IF(SMALL(タスク!$AB$5:$AB$300,ROWS($A$7:A195))&gt;=1000000000000,"",INDEX(タスク!C$5:C$300,MATCH(SMALL(タスク!$AB$5:$AB$300,ROWS($A$7:A195)),タスク!$AB$5:$AB$300,0))),"")</f>
        <v/>
      </c>
      <c r="D195" s="53" t="str">
        <f>IFERROR(IF(SMALL(タスク!$AB$5:$AB$300,ROWS($A$7:A195))&gt;=1000000000000,"",INDEX(タスク!D$5:D$300,MATCH(SMALL(タスク!$AB$5:$AB$300,ROWS($A$7:A195)),タスク!$AB$5:$AB$300,0))),"")</f>
        <v/>
      </c>
      <c r="E195" s="53" t="str">
        <f>IFERROR(IF(SMALL(タスク!$AB$5:$AB$300,ROWS($A$7:A195))&gt;=1000000000000,"",INDEX(タスク!E$5:E$300,MATCH(SMALL(タスク!$AB$5:$AB$300,ROWS($A$7:A195)),タスク!$AB$5:$AB$300,0))),"")</f>
        <v/>
      </c>
      <c r="F195" s="53" t="str">
        <f>IFERROR(IF(SMALL(タスク!$AB$5:$AB$300,ROWS($A$7:A195))&gt;=1000000000000,"",INDEX(タスク!F$5:F$300,MATCH(SMALL(タスク!$AB$5:$AB$300,ROWS($A$7:A195)),タスク!$AB$5:$AB$300,0))),"")</f>
        <v/>
      </c>
      <c r="G195" s="53" t="str">
        <f>IFERROR(IF(SMALL(タスク!$AB$5:$AB$300,ROWS($A$7:A195))&gt;=1000000000000,"",INDEX(タスク!G$5:G$300,MATCH(SMALL(タスク!$AB$5:$AB$300,ROWS($A$7:A195)),タスク!$AB$5:$AB$300,0))),"")</f>
        <v/>
      </c>
      <c r="H195" s="53" t="str">
        <f>IFERROR(IF(SMALL(タスク!$AB$5:$AB$300,ROWS($A$7:A195))&gt;=1000000000000,"",INDEX(タスク!H$5:H$300,MATCH(SMALL(タスク!$AB$5:$AB$300,ROWS($A$7:A195)),タスク!$AB$5:$AB$300,0))),"")</f>
        <v/>
      </c>
      <c r="I195" s="53" t="str">
        <f>IFERROR(IF(SMALL(タスク!$AB$5:$AB$300,ROWS($A$7:A195))&gt;=1000000000000,"",INDEX(タスク!I$5:I$300,MATCH(SMALL(タスク!$AB$5:$AB$300,ROWS($A$7:A195)),タスク!$AB$5:$AB$300,0))),"")</f>
        <v/>
      </c>
      <c r="J195" s="53" t="str">
        <f>IFERROR(IF(SMALL(タスク!$AB$5:$AB$300,ROWS($A$7:A195))&gt;=1000000000000,"",INDEX(タスク!J$5:J$300,MATCH(SMALL(タスク!$AB$5:$AB$300,ROWS($A$7:A195)),タスク!$AB$5:$AB$300,0))),"")</f>
        <v/>
      </c>
    </row>
    <row r="196" spans="1:10">
      <c r="A196" s="53" t="str">
        <f>IFERROR(IF(SMALL(タスク!$AB$5:$AB$300,ROWS($A$7:A196))&gt;=1000000000000,"",INDEX(タスク!A$5:A$300,MATCH(SMALL(タスク!$AB$5:$AB$300,ROWS($A$7:A196)),タスク!$AB$5:$AB$300,0))),"")</f>
        <v/>
      </c>
      <c r="B196" s="53" t="str">
        <f>IFERROR(IF(SMALL(タスク!$AB$5:$AB$300,ROWS($A$7:A196))&gt;=1000000000000,"",INDEX(タスク!B$5:B$300,MATCH(SMALL(タスク!$AB$5:$AB$300,ROWS($A$7:A196)),タスク!$AB$5:$AB$300,0))),"")</f>
        <v/>
      </c>
      <c r="C196" s="53" t="str">
        <f>IFERROR(IF(SMALL(タスク!$AB$5:$AB$300,ROWS($A$7:A196))&gt;=1000000000000,"",INDEX(タスク!C$5:C$300,MATCH(SMALL(タスク!$AB$5:$AB$300,ROWS($A$7:A196)),タスク!$AB$5:$AB$300,0))),"")</f>
        <v/>
      </c>
      <c r="D196" s="53" t="str">
        <f>IFERROR(IF(SMALL(タスク!$AB$5:$AB$300,ROWS($A$7:A196))&gt;=1000000000000,"",INDEX(タスク!D$5:D$300,MATCH(SMALL(タスク!$AB$5:$AB$300,ROWS($A$7:A196)),タスク!$AB$5:$AB$300,0))),"")</f>
        <v/>
      </c>
      <c r="E196" s="53" t="str">
        <f>IFERROR(IF(SMALL(タスク!$AB$5:$AB$300,ROWS($A$7:A196))&gt;=1000000000000,"",INDEX(タスク!E$5:E$300,MATCH(SMALL(タスク!$AB$5:$AB$300,ROWS($A$7:A196)),タスク!$AB$5:$AB$300,0))),"")</f>
        <v/>
      </c>
      <c r="F196" s="53" t="str">
        <f>IFERROR(IF(SMALL(タスク!$AB$5:$AB$300,ROWS($A$7:A196))&gt;=1000000000000,"",INDEX(タスク!F$5:F$300,MATCH(SMALL(タスク!$AB$5:$AB$300,ROWS($A$7:A196)),タスク!$AB$5:$AB$300,0))),"")</f>
        <v/>
      </c>
      <c r="G196" s="53" t="str">
        <f>IFERROR(IF(SMALL(タスク!$AB$5:$AB$300,ROWS($A$7:A196))&gt;=1000000000000,"",INDEX(タスク!G$5:G$300,MATCH(SMALL(タスク!$AB$5:$AB$300,ROWS($A$7:A196)),タスク!$AB$5:$AB$300,0))),"")</f>
        <v/>
      </c>
      <c r="H196" s="53" t="str">
        <f>IFERROR(IF(SMALL(タスク!$AB$5:$AB$300,ROWS($A$7:A196))&gt;=1000000000000,"",INDEX(タスク!H$5:H$300,MATCH(SMALL(タスク!$AB$5:$AB$300,ROWS($A$7:A196)),タスク!$AB$5:$AB$300,0))),"")</f>
        <v/>
      </c>
      <c r="I196" s="53" t="str">
        <f>IFERROR(IF(SMALL(タスク!$AB$5:$AB$300,ROWS($A$7:A196))&gt;=1000000000000,"",INDEX(タスク!I$5:I$300,MATCH(SMALL(タスク!$AB$5:$AB$300,ROWS($A$7:A196)),タスク!$AB$5:$AB$300,0))),"")</f>
        <v/>
      </c>
      <c r="J196" s="53" t="str">
        <f>IFERROR(IF(SMALL(タスク!$AB$5:$AB$300,ROWS($A$7:A196))&gt;=1000000000000,"",INDEX(タスク!J$5:J$300,MATCH(SMALL(タスク!$AB$5:$AB$300,ROWS($A$7:A196)),タスク!$AB$5:$AB$300,0))),"")</f>
        <v/>
      </c>
    </row>
    <row r="197" spans="1:10">
      <c r="A197" s="53" t="str">
        <f>IFERROR(IF(SMALL(タスク!$AB$5:$AB$300,ROWS($A$7:A197))&gt;=1000000000000,"",INDEX(タスク!A$5:A$300,MATCH(SMALL(タスク!$AB$5:$AB$300,ROWS($A$7:A197)),タスク!$AB$5:$AB$300,0))),"")</f>
        <v/>
      </c>
      <c r="B197" s="53" t="str">
        <f>IFERROR(IF(SMALL(タスク!$AB$5:$AB$300,ROWS($A$7:A197))&gt;=1000000000000,"",INDEX(タスク!B$5:B$300,MATCH(SMALL(タスク!$AB$5:$AB$300,ROWS($A$7:A197)),タスク!$AB$5:$AB$300,0))),"")</f>
        <v/>
      </c>
      <c r="C197" s="53" t="str">
        <f>IFERROR(IF(SMALL(タスク!$AB$5:$AB$300,ROWS($A$7:A197))&gt;=1000000000000,"",INDEX(タスク!C$5:C$300,MATCH(SMALL(タスク!$AB$5:$AB$300,ROWS($A$7:A197)),タスク!$AB$5:$AB$300,0))),"")</f>
        <v/>
      </c>
      <c r="D197" s="53" t="str">
        <f>IFERROR(IF(SMALL(タスク!$AB$5:$AB$300,ROWS($A$7:A197))&gt;=1000000000000,"",INDEX(タスク!D$5:D$300,MATCH(SMALL(タスク!$AB$5:$AB$300,ROWS($A$7:A197)),タスク!$AB$5:$AB$300,0))),"")</f>
        <v/>
      </c>
      <c r="E197" s="53" t="str">
        <f>IFERROR(IF(SMALL(タスク!$AB$5:$AB$300,ROWS($A$7:A197))&gt;=1000000000000,"",INDEX(タスク!E$5:E$300,MATCH(SMALL(タスク!$AB$5:$AB$300,ROWS($A$7:A197)),タスク!$AB$5:$AB$300,0))),"")</f>
        <v/>
      </c>
      <c r="F197" s="53" t="str">
        <f>IFERROR(IF(SMALL(タスク!$AB$5:$AB$300,ROWS($A$7:A197))&gt;=1000000000000,"",INDEX(タスク!F$5:F$300,MATCH(SMALL(タスク!$AB$5:$AB$300,ROWS($A$7:A197)),タスク!$AB$5:$AB$300,0))),"")</f>
        <v/>
      </c>
      <c r="G197" s="53" t="str">
        <f>IFERROR(IF(SMALL(タスク!$AB$5:$AB$300,ROWS($A$7:A197))&gt;=1000000000000,"",INDEX(タスク!G$5:G$300,MATCH(SMALL(タスク!$AB$5:$AB$300,ROWS($A$7:A197)),タスク!$AB$5:$AB$300,0))),"")</f>
        <v/>
      </c>
      <c r="H197" s="53" t="str">
        <f>IFERROR(IF(SMALL(タスク!$AB$5:$AB$300,ROWS($A$7:A197))&gt;=1000000000000,"",INDEX(タスク!H$5:H$300,MATCH(SMALL(タスク!$AB$5:$AB$300,ROWS($A$7:A197)),タスク!$AB$5:$AB$300,0))),"")</f>
        <v/>
      </c>
      <c r="I197" s="53" t="str">
        <f>IFERROR(IF(SMALL(タスク!$AB$5:$AB$300,ROWS($A$7:A197))&gt;=1000000000000,"",INDEX(タスク!I$5:I$300,MATCH(SMALL(タスク!$AB$5:$AB$300,ROWS($A$7:A197)),タスク!$AB$5:$AB$300,0))),"")</f>
        <v/>
      </c>
      <c r="J197" s="53" t="str">
        <f>IFERROR(IF(SMALL(タスク!$AB$5:$AB$300,ROWS($A$7:A197))&gt;=1000000000000,"",INDEX(タスク!J$5:J$300,MATCH(SMALL(タスク!$AB$5:$AB$300,ROWS($A$7:A197)),タスク!$AB$5:$AB$300,0))),"")</f>
        <v/>
      </c>
    </row>
    <row r="198" spans="1:10">
      <c r="A198" s="53" t="str">
        <f>IFERROR(IF(SMALL(タスク!$AB$5:$AB$300,ROWS($A$7:A198))&gt;=1000000000000,"",INDEX(タスク!A$5:A$300,MATCH(SMALL(タスク!$AB$5:$AB$300,ROWS($A$7:A198)),タスク!$AB$5:$AB$300,0))),"")</f>
        <v/>
      </c>
      <c r="B198" s="53" t="str">
        <f>IFERROR(IF(SMALL(タスク!$AB$5:$AB$300,ROWS($A$7:A198))&gt;=1000000000000,"",INDEX(タスク!B$5:B$300,MATCH(SMALL(タスク!$AB$5:$AB$300,ROWS($A$7:A198)),タスク!$AB$5:$AB$300,0))),"")</f>
        <v/>
      </c>
      <c r="C198" s="53" t="str">
        <f>IFERROR(IF(SMALL(タスク!$AB$5:$AB$300,ROWS($A$7:A198))&gt;=1000000000000,"",INDEX(タスク!C$5:C$300,MATCH(SMALL(タスク!$AB$5:$AB$300,ROWS($A$7:A198)),タスク!$AB$5:$AB$300,0))),"")</f>
        <v/>
      </c>
      <c r="D198" s="53" t="str">
        <f>IFERROR(IF(SMALL(タスク!$AB$5:$AB$300,ROWS($A$7:A198))&gt;=1000000000000,"",INDEX(タスク!D$5:D$300,MATCH(SMALL(タスク!$AB$5:$AB$300,ROWS($A$7:A198)),タスク!$AB$5:$AB$300,0))),"")</f>
        <v/>
      </c>
      <c r="E198" s="53" t="str">
        <f>IFERROR(IF(SMALL(タスク!$AB$5:$AB$300,ROWS($A$7:A198))&gt;=1000000000000,"",INDEX(タスク!E$5:E$300,MATCH(SMALL(タスク!$AB$5:$AB$300,ROWS($A$7:A198)),タスク!$AB$5:$AB$300,0))),"")</f>
        <v/>
      </c>
      <c r="F198" s="53" t="str">
        <f>IFERROR(IF(SMALL(タスク!$AB$5:$AB$300,ROWS($A$7:A198))&gt;=1000000000000,"",INDEX(タスク!F$5:F$300,MATCH(SMALL(タスク!$AB$5:$AB$300,ROWS($A$7:A198)),タスク!$AB$5:$AB$300,0))),"")</f>
        <v/>
      </c>
      <c r="G198" s="53" t="str">
        <f>IFERROR(IF(SMALL(タスク!$AB$5:$AB$300,ROWS($A$7:A198))&gt;=1000000000000,"",INDEX(タスク!G$5:G$300,MATCH(SMALL(タスク!$AB$5:$AB$300,ROWS($A$7:A198)),タスク!$AB$5:$AB$300,0))),"")</f>
        <v/>
      </c>
      <c r="H198" s="53" t="str">
        <f>IFERROR(IF(SMALL(タスク!$AB$5:$AB$300,ROWS($A$7:A198))&gt;=1000000000000,"",INDEX(タスク!H$5:H$300,MATCH(SMALL(タスク!$AB$5:$AB$300,ROWS($A$7:A198)),タスク!$AB$5:$AB$300,0))),"")</f>
        <v/>
      </c>
      <c r="I198" s="53" t="str">
        <f>IFERROR(IF(SMALL(タスク!$AB$5:$AB$300,ROWS($A$7:A198))&gt;=1000000000000,"",INDEX(タスク!I$5:I$300,MATCH(SMALL(タスク!$AB$5:$AB$300,ROWS($A$7:A198)),タスク!$AB$5:$AB$300,0))),"")</f>
        <v/>
      </c>
      <c r="J198" s="53" t="str">
        <f>IFERROR(IF(SMALL(タスク!$AB$5:$AB$300,ROWS($A$7:A198))&gt;=1000000000000,"",INDEX(タスク!J$5:J$300,MATCH(SMALL(タスク!$AB$5:$AB$300,ROWS($A$7:A198)),タスク!$AB$5:$AB$300,0))),"")</f>
        <v/>
      </c>
    </row>
    <row r="199" spans="1:10">
      <c r="A199" s="53" t="str">
        <f>IFERROR(IF(SMALL(タスク!$AB$5:$AB$300,ROWS($A$7:A199))&gt;=1000000000000,"",INDEX(タスク!A$5:A$300,MATCH(SMALL(タスク!$AB$5:$AB$300,ROWS($A$7:A199)),タスク!$AB$5:$AB$300,0))),"")</f>
        <v/>
      </c>
      <c r="B199" s="53" t="str">
        <f>IFERROR(IF(SMALL(タスク!$AB$5:$AB$300,ROWS($A$7:A199))&gt;=1000000000000,"",INDEX(タスク!B$5:B$300,MATCH(SMALL(タスク!$AB$5:$AB$300,ROWS($A$7:A199)),タスク!$AB$5:$AB$300,0))),"")</f>
        <v/>
      </c>
      <c r="C199" s="53" t="str">
        <f>IFERROR(IF(SMALL(タスク!$AB$5:$AB$300,ROWS($A$7:A199))&gt;=1000000000000,"",INDEX(タスク!C$5:C$300,MATCH(SMALL(タスク!$AB$5:$AB$300,ROWS($A$7:A199)),タスク!$AB$5:$AB$300,0))),"")</f>
        <v/>
      </c>
      <c r="D199" s="53" t="str">
        <f>IFERROR(IF(SMALL(タスク!$AB$5:$AB$300,ROWS($A$7:A199))&gt;=1000000000000,"",INDEX(タスク!D$5:D$300,MATCH(SMALL(タスク!$AB$5:$AB$300,ROWS($A$7:A199)),タスク!$AB$5:$AB$300,0))),"")</f>
        <v/>
      </c>
      <c r="E199" s="53" t="str">
        <f>IFERROR(IF(SMALL(タスク!$AB$5:$AB$300,ROWS($A$7:A199))&gt;=1000000000000,"",INDEX(タスク!E$5:E$300,MATCH(SMALL(タスク!$AB$5:$AB$300,ROWS($A$7:A199)),タスク!$AB$5:$AB$300,0))),"")</f>
        <v/>
      </c>
      <c r="F199" s="53" t="str">
        <f>IFERROR(IF(SMALL(タスク!$AB$5:$AB$300,ROWS($A$7:A199))&gt;=1000000000000,"",INDEX(タスク!F$5:F$300,MATCH(SMALL(タスク!$AB$5:$AB$300,ROWS($A$7:A199)),タスク!$AB$5:$AB$300,0))),"")</f>
        <v/>
      </c>
      <c r="G199" s="53" t="str">
        <f>IFERROR(IF(SMALL(タスク!$AB$5:$AB$300,ROWS($A$7:A199))&gt;=1000000000000,"",INDEX(タスク!G$5:G$300,MATCH(SMALL(タスク!$AB$5:$AB$300,ROWS($A$7:A199)),タスク!$AB$5:$AB$300,0))),"")</f>
        <v/>
      </c>
      <c r="H199" s="53" t="str">
        <f>IFERROR(IF(SMALL(タスク!$AB$5:$AB$300,ROWS($A$7:A199))&gt;=1000000000000,"",INDEX(タスク!H$5:H$300,MATCH(SMALL(タスク!$AB$5:$AB$300,ROWS($A$7:A199)),タスク!$AB$5:$AB$300,0))),"")</f>
        <v/>
      </c>
      <c r="I199" s="53" t="str">
        <f>IFERROR(IF(SMALL(タスク!$AB$5:$AB$300,ROWS($A$7:A199))&gt;=1000000000000,"",INDEX(タスク!I$5:I$300,MATCH(SMALL(タスク!$AB$5:$AB$300,ROWS($A$7:A199)),タスク!$AB$5:$AB$300,0))),"")</f>
        <v/>
      </c>
      <c r="J199" s="53" t="str">
        <f>IFERROR(IF(SMALL(タスク!$AB$5:$AB$300,ROWS($A$7:A199))&gt;=1000000000000,"",INDEX(タスク!J$5:J$300,MATCH(SMALL(タスク!$AB$5:$AB$300,ROWS($A$7:A199)),タスク!$AB$5:$AB$300,0))),"")</f>
        <v/>
      </c>
    </row>
    <row r="200" spans="1:10">
      <c r="A200" s="53" t="str">
        <f>IFERROR(IF(SMALL(タスク!$AB$5:$AB$300,ROWS($A$7:A200))&gt;=1000000000000,"",INDEX(タスク!A$5:A$300,MATCH(SMALL(タスク!$AB$5:$AB$300,ROWS($A$7:A200)),タスク!$AB$5:$AB$300,0))),"")</f>
        <v/>
      </c>
      <c r="B200" s="53" t="str">
        <f>IFERROR(IF(SMALL(タスク!$AB$5:$AB$300,ROWS($A$7:A200))&gt;=1000000000000,"",INDEX(タスク!B$5:B$300,MATCH(SMALL(タスク!$AB$5:$AB$300,ROWS($A$7:A200)),タスク!$AB$5:$AB$300,0))),"")</f>
        <v/>
      </c>
      <c r="C200" s="53" t="str">
        <f>IFERROR(IF(SMALL(タスク!$AB$5:$AB$300,ROWS($A$7:A200))&gt;=1000000000000,"",INDEX(タスク!C$5:C$300,MATCH(SMALL(タスク!$AB$5:$AB$300,ROWS($A$7:A200)),タスク!$AB$5:$AB$300,0))),"")</f>
        <v/>
      </c>
      <c r="D200" s="53" t="str">
        <f>IFERROR(IF(SMALL(タスク!$AB$5:$AB$300,ROWS($A$7:A200))&gt;=1000000000000,"",INDEX(タスク!D$5:D$300,MATCH(SMALL(タスク!$AB$5:$AB$300,ROWS($A$7:A200)),タスク!$AB$5:$AB$300,0))),"")</f>
        <v/>
      </c>
      <c r="E200" s="53" t="str">
        <f>IFERROR(IF(SMALL(タスク!$AB$5:$AB$300,ROWS($A$7:A200))&gt;=1000000000000,"",INDEX(タスク!E$5:E$300,MATCH(SMALL(タスク!$AB$5:$AB$300,ROWS($A$7:A200)),タスク!$AB$5:$AB$300,0))),"")</f>
        <v/>
      </c>
      <c r="F200" s="53" t="str">
        <f>IFERROR(IF(SMALL(タスク!$AB$5:$AB$300,ROWS($A$7:A200))&gt;=1000000000000,"",INDEX(タスク!F$5:F$300,MATCH(SMALL(タスク!$AB$5:$AB$300,ROWS($A$7:A200)),タスク!$AB$5:$AB$300,0))),"")</f>
        <v/>
      </c>
      <c r="G200" s="53" t="str">
        <f>IFERROR(IF(SMALL(タスク!$AB$5:$AB$300,ROWS($A$7:A200))&gt;=1000000000000,"",INDEX(タスク!G$5:G$300,MATCH(SMALL(タスク!$AB$5:$AB$300,ROWS($A$7:A200)),タスク!$AB$5:$AB$300,0))),"")</f>
        <v/>
      </c>
      <c r="H200" s="53" t="str">
        <f>IFERROR(IF(SMALL(タスク!$AB$5:$AB$300,ROWS($A$7:A200))&gt;=1000000000000,"",INDEX(タスク!H$5:H$300,MATCH(SMALL(タスク!$AB$5:$AB$300,ROWS($A$7:A200)),タスク!$AB$5:$AB$300,0))),"")</f>
        <v/>
      </c>
      <c r="I200" s="53" t="str">
        <f>IFERROR(IF(SMALL(タスク!$AB$5:$AB$300,ROWS($A$7:A200))&gt;=1000000000000,"",INDEX(タスク!I$5:I$300,MATCH(SMALL(タスク!$AB$5:$AB$300,ROWS($A$7:A200)),タスク!$AB$5:$AB$300,0))),"")</f>
        <v/>
      </c>
      <c r="J200" s="53" t="str">
        <f>IFERROR(IF(SMALL(タスク!$AB$5:$AB$300,ROWS($A$7:A200))&gt;=1000000000000,"",INDEX(タスク!J$5:J$300,MATCH(SMALL(タスク!$AB$5:$AB$300,ROWS($A$7:A200)),タスク!$AB$5:$AB$300,0))),"")</f>
        <v/>
      </c>
    </row>
    <row r="201" spans="1:10">
      <c r="A201" s="53" t="str">
        <f>IFERROR(IF(SMALL(タスク!$AB$5:$AB$300,ROWS($A$7:A201))&gt;=1000000000000,"",INDEX(タスク!A$5:A$300,MATCH(SMALL(タスク!$AB$5:$AB$300,ROWS($A$7:A201)),タスク!$AB$5:$AB$300,0))),"")</f>
        <v/>
      </c>
      <c r="B201" s="53" t="str">
        <f>IFERROR(IF(SMALL(タスク!$AB$5:$AB$300,ROWS($A$7:A201))&gt;=1000000000000,"",INDEX(タスク!B$5:B$300,MATCH(SMALL(タスク!$AB$5:$AB$300,ROWS($A$7:A201)),タスク!$AB$5:$AB$300,0))),"")</f>
        <v/>
      </c>
      <c r="C201" s="53" t="str">
        <f>IFERROR(IF(SMALL(タスク!$AB$5:$AB$300,ROWS($A$7:A201))&gt;=1000000000000,"",INDEX(タスク!C$5:C$300,MATCH(SMALL(タスク!$AB$5:$AB$300,ROWS($A$7:A201)),タスク!$AB$5:$AB$300,0))),"")</f>
        <v/>
      </c>
      <c r="D201" s="53" t="str">
        <f>IFERROR(IF(SMALL(タスク!$AB$5:$AB$300,ROWS($A$7:A201))&gt;=1000000000000,"",INDEX(タスク!D$5:D$300,MATCH(SMALL(タスク!$AB$5:$AB$300,ROWS($A$7:A201)),タスク!$AB$5:$AB$300,0))),"")</f>
        <v/>
      </c>
      <c r="E201" s="53" t="str">
        <f>IFERROR(IF(SMALL(タスク!$AB$5:$AB$300,ROWS($A$7:A201))&gt;=1000000000000,"",INDEX(タスク!E$5:E$300,MATCH(SMALL(タスク!$AB$5:$AB$300,ROWS($A$7:A201)),タスク!$AB$5:$AB$300,0))),"")</f>
        <v/>
      </c>
      <c r="F201" s="53" t="str">
        <f>IFERROR(IF(SMALL(タスク!$AB$5:$AB$300,ROWS($A$7:A201))&gt;=1000000000000,"",INDEX(タスク!F$5:F$300,MATCH(SMALL(タスク!$AB$5:$AB$300,ROWS($A$7:A201)),タスク!$AB$5:$AB$300,0))),"")</f>
        <v/>
      </c>
      <c r="G201" s="53" t="str">
        <f>IFERROR(IF(SMALL(タスク!$AB$5:$AB$300,ROWS($A$7:A201))&gt;=1000000000000,"",INDEX(タスク!G$5:G$300,MATCH(SMALL(タスク!$AB$5:$AB$300,ROWS($A$7:A201)),タスク!$AB$5:$AB$300,0))),"")</f>
        <v/>
      </c>
      <c r="H201" s="53" t="str">
        <f>IFERROR(IF(SMALL(タスク!$AB$5:$AB$300,ROWS($A$7:A201))&gt;=1000000000000,"",INDEX(タスク!H$5:H$300,MATCH(SMALL(タスク!$AB$5:$AB$300,ROWS($A$7:A201)),タスク!$AB$5:$AB$300,0))),"")</f>
        <v/>
      </c>
      <c r="I201" s="53" t="str">
        <f>IFERROR(IF(SMALL(タスク!$AB$5:$AB$300,ROWS($A$7:A201))&gt;=1000000000000,"",INDEX(タスク!I$5:I$300,MATCH(SMALL(タスク!$AB$5:$AB$300,ROWS($A$7:A201)),タスク!$AB$5:$AB$300,0))),"")</f>
        <v/>
      </c>
      <c r="J201" s="53" t="str">
        <f>IFERROR(IF(SMALL(タスク!$AB$5:$AB$300,ROWS($A$7:A201))&gt;=1000000000000,"",INDEX(タスク!J$5:J$300,MATCH(SMALL(タスク!$AB$5:$AB$300,ROWS($A$7:A201)),タスク!$AB$5:$AB$300,0))),"")</f>
        <v/>
      </c>
    </row>
    <row r="202" spans="1:10">
      <c r="A202" s="53" t="str">
        <f>IFERROR(IF(SMALL(タスク!$AB$5:$AB$300,ROWS($A$7:A202))&gt;=1000000000000,"",INDEX(タスク!A$5:A$300,MATCH(SMALL(タスク!$AB$5:$AB$300,ROWS($A$7:A202)),タスク!$AB$5:$AB$300,0))),"")</f>
        <v/>
      </c>
      <c r="B202" s="53" t="str">
        <f>IFERROR(IF(SMALL(タスク!$AB$5:$AB$300,ROWS($A$7:A202))&gt;=1000000000000,"",INDEX(タスク!B$5:B$300,MATCH(SMALL(タスク!$AB$5:$AB$300,ROWS($A$7:A202)),タスク!$AB$5:$AB$300,0))),"")</f>
        <v/>
      </c>
      <c r="C202" s="53" t="str">
        <f>IFERROR(IF(SMALL(タスク!$AB$5:$AB$300,ROWS($A$7:A202))&gt;=1000000000000,"",INDEX(タスク!C$5:C$300,MATCH(SMALL(タスク!$AB$5:$AB$300,ROWS($A$7:A202)),タスク!$AB$5:$AB$300,0))),"")</f>
        <v/>
      </c>
      <c r="D202" s="53" t="str">
        <f>IFERROR(IF(SMALL(タスク!$AB$5:$AB$300,ROWS($A$7:A202))&gt;=1000000000000,"",INDEX(タスク!D$5:D$300,MATCH(SMALL(タスク!$AB$5:$AB$300,ROWS($A$7:A202)),タスク!$AB$5:$AB$300,0))),"")</f>
        <v/>
      </c>
      <c r="E202" s="53" t="str">
        <f>IFERROR(IF(SMALL(タスク!$AB$5:$AB$300,ROWS($A$7:A202))&gt;=1000000000000,"",INDEX(タスク!E$5:E$300,MATCH(SMALL(タスク!$AB$5:$AB$300,ROWS($A$7:A202)),タスク!$AB$5:$AB$300,0))),"")</f>
        <v/>
      </c>
      <c r="F202" s="53" t="str">
        <f>IFERROR(IF(SMALL(タスク!$AB$5:$AB$300,ROWS($A$7:A202))&gt;=1000000000000,"",INDEX(タスク!F$5:F$300,MATCH(SMALL(タスク!$AB$5:$AB$300,ROWS($A$7:A202)),タスク!$AB$5:$AB$300,0))),"")</f>
        <v/>
      </c>
      <c r="G202" s="53" t="str">
        <f>IFERROR(IF(SMALL(タスク!$AB$5:$AB$300,ROWS($A$7:A202))&gt;=1000000000000,"",INDEX(タスク!G$5:G$300,MATCH(SMALL(タスク!$AB$5:$AB$300,ROWS($A$7:A202)),タスク!$AB$5:$AB$300,0))),"")</f>
        <v/>
      </c>
      <c r="H202" s="53" t="str">
        <f>IFERROR(IF(SMALL(タスク!$AB$5:$AB$300,ROWS($A$7:A202))&gt;=1000000000000,"",INDEX(タスク!H$5:H$300,MATCH(SMALL(タスク!$AB$5:$AB$300,ROWS($A$7:A202)),タスク!$AB$5:$AB$300,0))),"")</f>
        <v/>
      </c>
      <c r="I202" s="53" t="str">
        <f>IFERROR(IF(SMALL(タスク!$AB$5:$AB$300,ROWS($A$7:A202))&gt;=1000000000000,"",INDEX(タスク!I$5:I$300,MATCH(SMALL(タスク!$AB$5:$AB$300,ROWS($A$7:A202)),タスク!$AB$5:$AB$300,0))),"")</f>
        <v/>
      </c>
      <c r="J202" s="53" t="str">
        <f>IFERROR(IF(SMALL(タスク!$AB$5:$AB$300,ROWS($A$7:A202))&gt;=1000000000000,"",INDEX(タスク!J$5:J$300,MATCH(SMALL(タスク!$AB$5:$AB$300,ROWS($A$7:A202)),タスク!$AB$5:$AB$300,0))),"")</f>
        <v/>
      </c>
    </row>
    <row r="203" spans="1:10">
      <c r="A203" s="53" t="str">
        <f>IFERROR(IF(SMALL(タスク!$AB$5:$AB$300,ROWS($A$7:A203))&gt;=1000000000000,"",INDEX(タスク!A$5:A$300,MATCH(SMALL(タスク!$AB$5:$AB$300,ROWS($A$7:A203)),タスク!$AB$5:$AB$300,0))),"")</f>
        <v/>
      </c>
      <c r="B203" s="53" t="str">
        <f>IFERROR(IF(SMALL(タスク!$AB$5:$AB$300,ROWS($A$7:A203))&gt;=1000000000000,"",INDEX(タスク!B$5:B$300,MATCH(SMALL(タスク!$AB$5:$AB$300,ROWS($A$7:A203)),タスク!$AB$5:$AB$300,0))),"")</f>
        <v/>
      </c>
      <c r="C203" s="53" t="str">
        <f>IFERROR(IF(SMALL(タスク!$AB$5:$AB$300,ROWS($A$7:A203))&gt;=1000000000000,"",INDEX(タスク!C$5:C$300,MATCH(SMALL(タスク!$AB$5:$AB$300,ROWS($A$7:A203)),タスク!$AB$5:$AB$300,0))),"")</f>
        <v/>
      </c>
      <c r="D203" s="53" t="str">
        <f>IFERROR(IF(SMALL(タスク!$AB$5:$AB$300,ROWS($A$7:A203))&gt;=1000000000000,"",INDEX(タスク!D$5:D$300,MATCH(SMALL(タスク!$AB$5:$AB$300,ROWS($A$7:A203)),タスク!$AB$5:$AB$300,0))),"")</f>
        <v/>
      </c>
      <c r="E203" s="53" t="str">
        <f>IFERROR(IF(SMALL(タスク!$AB$5:$AB$300,ROWS($A$7:A203))&gt;=1000000000000,"",INDEX(タスク!E$5:E$300,MATCH(SMALL(タスク!$AB$5:$AB$300,ROWS($A$7:A203)),タスク!$AB$5:$AB$300,0))),"")</f>
        <v/>
      </c>
      <c r="F203" s="53" t="str">
        <f>IFERROR(IF(SMALL(タスク!$AB$5:$AB$300,ROWS($A$7:A203))&gt;=1000000000000,"",INDEX(タスク!F$5:F$300,MATCH(SMALL(タスク!$AB$5:$AB$300,ROWS($A$7:A203)),タスク!$AB$5:$AB$300,0))),"")</f>
        <v/>
      </c>
      <c r="G203" s="53" t="str">
        <f>IFERROR(IF(SMALL(タスク!$AB$5:$AB$300,ROWS($A$7:A203))&gt;=1000000000000,"",INDEX(タスク!G$5:G$300,MATCH(SMALL(タスク!$AB$5:$AB$300,ROWS($A$7:A203)),タスク!$AB$5:$AB$300,0))),"")</f>
        <v/>
      </c>
      <c r="H203" s="53" t="str">
        <f>IFERROR(IF(SMALL(タスク!$AB$5:$AB$300,ROWS($A$7:A203))&gt;=1000000000000,"",INDEX(タスク!H$5:H$300,MATCH(SMALL(タスク!$AB$5:$AB$300,ROWS($A$7:A203)),タスク!$AB$5:$AB$300,0))),"")</f>
        <v/>
      </c>
      <c r="I203" s="53" t="str">
        <f>IFERROR(IF(SMALL(タスク!$AB$5:$AB$300,ROWS($A$7:A203))&gt;=1000000000000,"",INDEX(タスク!I$5:I$300,MATCH(SMALL(タスク!$AB$5:$AB$300,ROWS($A$7:A203)),タスク!$AB$5:$AB$300,0))),"")</f>
        <v/>
      </c>
      <c r="J203" s="53" t="str">
        <f>IFERROR(IF(SMALL(タスク!$AB$5:$AB$300,ROWS($A$7:A203))&gt;=1000000000000,"",INDEX(タスク!J$5:J$300,MATCH(SMALL(タスク!$AB$5:$AB$300,ROWS($A$7:A203)),タスク!$AB$5:$AB$300,0))),"")</f>
        <v/>
      </c>
    </row>
    <row r="204" spans="1:10">
      <c r="A204" s="53" t="str">
        <f>IFERROR(IF(SMALL(タスク!$AB$5:$AB$300,ROWS($A$7:A204))&gt;=1000000000000,"",INDEX(タスク!A$5:A$300,MATCH(SMALL(タスク!$AB$5:$AB$300,ROWS($A$7:A204)),タスク!$AB$5:$AB$300,0))),"")</f>
        <v/>
      </c>
      <c r="B204" s="53" t="str">
        <f>IFERROR(IF(SMALL(タスク!$AB$5:$AB$300,ROWS($A$7:A204))&gt;=1000000000000,"",INDEX(タスク!B$5:B$300,MATCH(SMALL(タスク!$AB$5:$AB$300,ROWS($A$7:A204)),タスク!$AB$5:$AB$300,0))),"")</f>
        <v/>
      </c>
      <c r="C204" s="53" t="str">
        <f>IFERROR(IF(SMALL(タスク!$AB$5:$AB$300,ROWS($A$7:A204))&gt;=1000000000000,"",INDEX(タスク!C$5:C$300,MATCH(SMALL(タスク!$AB$5:$AB$300,ROWS($A$7:A204)),タスク!$AB$5:$AB$300,0))),"")</f>
        <v/>
      </c>
      <c r="D204" s="53" t="str">
        <f>IFERROR(IF(SMALL(タスク!$AB$5:$AB$300,ROWS($A$7:A204))&gt;=1000000000000,"",INDEX(タスク!D$5:D$300,MATCH(SMALL(タスク!$AB$5:$AB$300,ROWS($A$7:A204)),タスク!$AB$5:$AB$300,0))),"")</f>
        <v/>
      </c>
      <c r="E204" s="53" t="str">
        <f>IFERROR(IF(SMALL(タスク!$AB$5:$AB$300,ROWS($A$7:A204))&gt;=1000000000000,"",INDEX(タスク!E$5:E$300,MATCH(SMALL(タスク!$AB$5:$AB$300,ROWS($A$7:A204)),タスク!$AB$5:$AB$300,0))),"")</f>
        <v/>
      </c>
      <c r="F204" s="53" t="str">
        <f>IFERROR(IF(SMALL(タスク!$AB$5:$AB$300,ROWS($A$7:A204))&gt;=1000000000000,"",INDEX(タスク!F$5:F$300,MATCH(SMALL(タスク!$AB$5:$AB$300,ROWS($A$7:A204)),タスク!$AB$5:$AB$300,0))),"")</f>
        <v/>
      </c>
      <c r="G204" s="53" t="str">
        <f>IFERROR(IF(SMALL(タスク!$AB$5:$AB$300,ROWS($A$7:A204))&gt;=1000000000000,"",INDEX(タスク!G$5:G$300,MATCH(SMALL(タスク!$AB$5:$AB$300,ROWS($A$7:A204)),タスク!$AB$5:$AB$300,0))),"")</f>
        <v/>
      </c>
      <c r="H204" s="53" t="str">
        <f>IFERROR(IF(SMALL(タスク!$AB$5:$AB$300,ROWS($A$7:A204))&gt;=1000000000000,"",INDEX(タスク!H$5:H$300,MATCH(SMALL(タスク!$AB$5:$AB$300,ROWS($A$7:A204)),タスク!$AB$5:$AB$300,0))),"")</f>
        <v/>
      </c>
      <c r="I204" s="53" t="str">
        <f>IFERROR(IF(SMALL(タスク!$AB$5:$AB$300,ROWS($A$7:A204))&gt;=1000000000000,"",INDEX(タスク!I$5:I$300,MATCH(SMALL(タスク!$AB$5:$AB$300,ROWS($A$7:A204)),タスク!$AB$5:$AB$300,0))),"")</f>
        <v/>
      </c>
      <c r="J204" s="53" t="str">
        <f>IFERROR(IF(SMALL(タスク!$AB$5:$AB$300,ROWS($A$7:A204))&gt;=1000000000000,"",INDEX(タスク!J$5:J$300,MATCH(SMALL(タスク!$AB$5:$AB$300,ROWS($A$7:A204)),タスク!$AB$5:$AB$300,0))),"")</f>
        <v/>
      </c>
    </row>
    <row r="205" spans="1:10">
      <c r="A205" s="53" t="str">
        <f>IFERROR(IF(SMALL(タスク!$AB$5:$AB$300,ROWS($A$7:A205))&gt;=1000000000000,"",INDEX(タスク!A$5:A$300,MATCH(SMALL(タスク!$AB$5:$AB$300,ROWS($A$7:A205)),タスク!$AB$5:$AB$300,0))),"")</f>
        <v/>
      </c>
      <c r="B205" s="53" t="str">
        <f>IFERROR(IF(SMALL(タスク!$AB$5:$AB$300,ROWS($A$7:A205))&gt;=1000000000000,"",INDEX(タスク!B$5:B$300,MATCH(SMALL(タスク!$AB$5:$AB$300,ROWS($A$7:A205)),タスク!$AB$5:$AB$300,0))),"")</f>
        <v/>
      </c>
      <c r="C205" s="53" t="str">
        <f>IFERROR(IF(SMALL(タスク!$AB$5:$AB$300,ROWS($A$7:A205))&gt;=1000000000000,"",INDEX(タスク!C$5:C$300,MATCH(SMALL(タスク!$AB$5:$AB$300,ROWS($A$7:A205)),タスク!$AB$5:$AB$300,0))),"")</f>
        <v/>
      </c>
      <c r="D205" s="53" t="str">
        <f>IFERROR(IF(SMALL(タスク!$AB$5:$AB$300,ROWS($A$7:A205))&gt;=1000000000000,"",INDEX(タスク!D$5:D$300,MATCH(SMALL(タスク!$AB$5:$AB$300,ROWS($A$7:A205)),タスク!$AB$5:$AB$300,0))),"")</f>
        <v/>
      </c>
      <c r="E205" s="53" t="str">
        <f>IFERROR(IF(SMALL(タスク!$AB$5:$AB$300,ROWS($A$7:A205))&gt;=1000000000000,"",INDEX(タスク!E$5:E$300,MATCH(SMALL(タスク!$AB$5:$AB$300,ROWS($A$7:A205)),タスク!$AB$5:$AB$300,0))),"")</f>
        <v/>
      </c>
      <c r="F205" s="53" t="str">
        <f>IFERROR(IF(SMALL(タスク!$AB$5:$AB$300,ROWS($A$7:A205))&gt;=1000000000000,"",INDEX(タスク!F$5:F$300,MATCH(SMALL(タスク!$AB$5:$AB$300,ROWS($A$7:A205)),タスク!$AB$5:$AB$300,0))),"")</f>
        <v/>
      </c>
      <c r="G205" s="53" t="str">
        <f>IFERROR(IF(SMALL(タスク!$AB$5:$AB$300,ROWS($A$7:A205))&gt;=1000000000000,"",INDEX(タスク!G$5:G$300,MATCH(SMALL(タスク!$AB$5:$AB$300,ROWS($A$7:A205)),タスク!$AB$5:$AB$300,0))),"")</f>
        <v/>
      </c>
      <c r="H205" s="53" t="str">
        <f>IFERROR(IF(SMALL(タスク!$AB$5:$AB$300,ROWS($A$7:A205))&gt;=1000000000000,"",INDEX(タスク!H$5:H$300,MATCH(SMALL(タスク!$AB$5:$AB$300,ROWS($A$7:A205)),タスク!$AB$5:$AB$300,0))),"")</f>
        <v/>
      </c>
      <c r="I205" s="53" t="str">
        <f>IFERROR(IF(SMALL(タスク!$AB$5:$AB$300,ROWS($A$7:A205))&gt;=1000000000000,"",INDEX(タスク!I$5:I$300,MATCH(SMALL(タスク!$AB$5:$AB$300,ROWS($A$7:A205)),タスク!$AB$5:$AB$300,0))),"")</f>
        <v/>
      </c>
      <c r="J205" s="53" t="str">
        <f>IFERROR(IF(SMALL(タスク!$AB$5:$AB$300,ROWS($A$7:A205))&gt;=1000000000000,"",INDEX(タスク!J$5:J$300,MATCH(SMALL(タスク!$AB$5:$AB$300,ROWS($A$7:A205)),タスク!$AB$5:$AB$300,0))),"")</f>
        <v/>
      </c>
    </row>
    <row r="206" spans="1:10">
      <c r="A206" s="53" t="str">
        <f>IFERROR(IF(SMALL(タスク!$AB$5:$AB$300,ROWS($A$7:A206))&gt;=1000000000000,"",INDEX(タスク!A$5:A$300,MATCH(SMALL(タスク!$AB$5:$AB$300,ROWS($A$7:A206)),タスク!$AB$5:$AB$300,0))),"")</f>
        <v/>
      </c>
      <c r="B206" s="53" t="str">
        <f>IFERROR(IF(SMALL(タスク!$AB$5:$AB$300,ROWS($A$7:A206))&gt;=1000000000000,"",INDEX(タスク!B$5:B$300,MATCH(SMALL(タスク!$AB$5:$AB$300,ROWS($A$7:A206)),タスク!$AB$5:$AB$300,0))),"")</f>
        <v/>
      </c>
      <c r="C206" s="53" t="str">
        <f>IFERROR(IF(SMALL(タスク!$AB$5:$AB$300,ROWS($A$7:A206))&gt;=1000000000000,"",INDEX(タスク!C$5:C$300,MATCH(SMALL(タスク!$AB$5:$AB$300,ROWS($A$7:A206)),タスク!$AB$5:$AB$300,0))),"")</f>
        <v/>
      </c>
      <c r="D206" s="53" t="str">
        <f>IFERROR(IF(SMALL(タスク!$AB$5:$AB$300,ROWS($A$7:A206))&gt;=1000000000000,"",INDEX(タスク!D$5:D$300,MATCH(SMALL(タスク!$AB$5:$AB$300,ROWS($A$7:A206)),タスク!$AB$5:$AB$300,0))),"")</f>
        <v/>
      </c>
      <c r="E206" s="53" t="str">
        <f>IFERROR(IF(SMALL(タスク!$AB$5:$AB$300,ROWS($A$7:A206))&gt;=1000000000000,"",INDEX(タスク!E$5:E$300,MATCH(SMALL(タスク!$AB$5:$AB$300,ROWS($A$7:A206)),タスク!$AB$5:$AB$300,0))),"")</f>
        <v/>
      </c>
      <c r="F206" s="53" t="str">
        <f>IFERROR(IF(SMALL(タスク!$AB$5:$AB$300,ROWS($A$7:A206))&gt;=1000000000000,"",INDEX(タスク!F$5:F$300,MATCH(SMALL(タスク!$AB$5:$AB$300,ROWS($A$7:A206)),タスク!$AB$5:$AB$300,0))),"")</f>
        <v/>
      </c>
      <c r="G206" s="53" t="str">
        <f>IFERROR(IF(SMALL(タスク!$AB$5:$AB$300,ROWS($A$7:A206))&gt;=1000000000000,"",INDEX(タスク!G$5:G$300,MATCH(SMALL(タスク!$AB$5:$AB$300,ROWS($A$7:A206)),タスク!$AB$5:$AB$300,0))),"")</f>
        <v/>
      </c>
      <c r="H206" s="53" t="str">
        <f>IFERROR(IF(SMALL(タスク!$AB$5:$AB$300,ROWS($A$7:A206))&gt;=1000000000000,"",INDEX(タスク!H$5:H$300,MATCH(SMALL(タスク!$AB$5:$AB$300,ROWS($A$7:A206)),タスク!$AB$5:$AB$300,0))),"")</f>
        <v/>
      </c>
      <c r="I206" s="53" t="str">
        <f>IFERROR(IF(SMALL(タスク!$AB$5:$AB$300,ROWS($A$7:A206))&gt;=1000000000000,"",INDEX(タスク!I$5:I$300,MATCH(SMALL(タスク!$AB$5:$AB$300,ROWS($A$7:A206)),タスク!$AB$5:$AB$300,0))),"")</f>
        <v/>
      </c>
      <c r="J206" s="53" t="str">
        <f>IFERROR(IF(SMALL(タスク!$AB$5:$AB$300,ROWS($A$7:A206))&gt;=1000000000000,"",INDEX(タスク!J$5:J$300,MATCH(SMALL(タスク!$AB$5:$AB$300,ROWS($A$7:A206)),タスク!$AB$5:$AB$300,0))),"")</f>
        <v/>
      </c>
    </row>
    <row r="207" spans="1:10">
      <c r="A207" s="53" t="str">
        <f>IFERROR(IF(SMALL(タスク!$AB$5:$AB$300,ROWS($A$7:A207))&gt;=1000000000000,"",INDEX(タスク!A$5:A$300,MATCH(SMALL(タスク!$AB$5:$AB$300,ROWS($A$7:A207)),タスク!$AB$5:$AB$300,0))),"")</f>
        <v/>
      </c>
      <c r="B207" s="53" t="str">
        <f>IFERROR(IF(SMALL(タスク!$AB$5:$AB$300,ROWS($A$7:A207))&gt;=1000000000000,"",INDEX(タスク!B$5:B$300,MATCH(SMALL(タスク!$AB$5:$AB$300,ROWS($A$7:A207)),タスク!$AB$5:$AB$300,0))),"")</f>
        <v/>
      </c>
      <c r="C207" s="53" t="str">
        <f>IFERROR(IF(SMALL(タスク!$AB$5:$AB$300,ROWS($A$7:A207))&gt;=1000000000000,"",INDEX(タスク!C$5:C$300,MATCH(SMALL(タスク!$AB$5:$AB$300,ROWS($A$7:A207)),タスク!$AB$5:$AB$300,0))),"")</f>
        <v/>
      </c>
      <c r="D207" s="53" t="str">
        <f>IFERROR(IF(SMALL(タスク!$AB$5:$AB$300,ROWS($A$7:A207))&gt;=1000000000000,"",INDEX(タスク!D$5:D$300,MATCH(SMALL(タスク!$AB$5:$AB$300,ROWS($A$7:A207)),タスク!$AB$5:$AB$300,0))),"")</f>
        <v/>
      </c>
      <c r="E207" s="53" t="str">
        <f>IFERROR(IF(SMALL(タスク!$AB$5:$AB$300,ROWS($A$7:A207))&gt;=1000000000000,"",INDEX(タスク!E$5:E$300,MATCH(SMALL(タスク!$AB$5:$AB$300,ROWS($A$7:A207)),タスク!$AB$5:$AB$300,0))),"")</f>
        <v/>
      </c>
      <c r="F207" s="53" t="str">
        <f>IFERROR(IF(SMALL(タスク!$AB$5:$AB$300,ROWS($A$7:A207))&gt;=1000000000000,"",INDEX(タスク!F$5:F$300,MATCH(SMALL(タスク!$AB$5:$AB$300,ROWS($A$7:A207)),タスク!$AB$5:$AB$300,0))),"")</f>
        <v/>
      </c>
      <c r="G207" s="53" t="str">
        <f>IFERROR(IF(SMALL(タスク!$AB$5:$AB$300,ROWS($A$7:A207))&gt;=1000000000000,"",INDEX(タスク!G$5:G$300,MATCH(SMALL(タスク!$AB$5:$AB$300,ROWS($A$7:A207)),タスク!$AB$5:$AB$300,0))),"")</f>
        <v/>
      </c>
      <c r="H207" s="53" t="str">
        <f>IFERROR(IF(SMALL(タスク!$AB$5:$AB$300,ROWS($A$7:A207))&gt;=1000000000000,"",INDEX(タスク!H$5:H$300,MATCH(SMALL(タスク!$AB$5:$AB$300,ROWS($A$7:A207)),タスク!$AB$5:$AB$300,0))),"")</f>
        <v/>
      </c>
      <c r="I207" s="53" t="str">
        <f>IFERROR(IF(SMALL(タスク!$AB$5:$AB$300,ROWS($A$7:A207))&gt;=1000000000000,"",INDEX(タスク!I$5:I$300,MATCH(SMALL(タスク!$AB$5:$AB$300,ROWS($A$7:A207)),タスク!$AB$5:$AB$300,0))),"")</f>
        <v/>
      </c>
      <c r="J207" s="53" t="str">
        <f>IFERROR(IF(SMALL(タスク!$AB$5:$AB$300,ROWS($A$7:A207))&gt;=1000000000000,"",INDEX(タスク!J$5:J$300,MATCH(SMALL(タスク!$AB$5:$AB$300,ROWS($A$7:A207)),タスク!$AB$5:$AB$300,0))),"")</f>
        <v/>
      </c>
    </row>
    <row r="208" spans="1:10">
      <c r="A208" s="53" t="str">
        <f>IFERROR(IF(SMALL(タスク!$AB$5:$AB$300,ROWS($A$7:A208))&gt;=1000000000000,"",INDEX(タスク!A$5:A$300,MATCH(SMALL(タスク!$AB$5:$AB$300,ROWS($A$7:A208)),タスク!$AB$5:$AB$300,0))),"")</f>
        <v/>
      </c>
      <c r="B208" s="53" t="str">
        <f>IFERROR(IF(SMALL(タスク!$AB$5:$AB$300,ROWS($A$7:A208))&gt;=1000000000000,"",INDEX(タスク!B$5:B$300,MATCH(SMALL(タスク!$AB$5:$AB$300,ROWS($A$7:A208)),タスク!$AB$5:$AB$300,0))),"")</f>
        <v/>
      </c>
      <c r="C208" s="53" t="str">
        <f>IFERROR(IF(SMALL(タスク!$AB$5:$AB$300,ROWS($A$7:A208))&gt;=1000000000000,"",INDEX(タスク!C$5:C$300,MATCH(SMALL(タスク!$AB$5:$AB$300,ROWS($A$7:A208)),タスク!$AB$5:$AB$300,0))),"")</f>
        <v/>
      </c>
      <c r="D208" s="53" t="str">
        <f>IFERROR(IF(SMALL(タスク!$AB$5:$AB$300,ROWS($A$7:A208))&gt;=1000000000000,"",INDEX(タスク!D$5:D$300,MATCH(SMALL(タスク!$AB$5:$AB$300,ROWS($A$7:A208)),タスク!$AB$5:$AB$300,0))),"")</f>
        <v/>
      </c>
      <c r="E208" s="53" t="str">
        <f>IFERROR(IF(SMALL(タスク!$AB$5:$AB$300,ROWS($A$7:A208))&gt;=1000000000000,"",INDEX(タスク!E$5:E$300,MATCH(SMALL(タスク!$AB$5:$AB$300,ROWS($A$7:A208)),タスク!$AB$5:$AB$300,0))),"")</f>
        <v/>
      </c>
      <c r="F208" s="53" t="str">
        <f>IFERROR(IF(SMALL(タスク!$AB$5:$AB$300,ROWS($A$7:A208))&gt;=1000000000000,"",INDEX(タスク!F$5:F$300,MATCH(SMALL(タスク!$AB$5:$AB$300,ROWS($A$7:A208)),タスク!$AB$5:$AB$300,0))),"")</f>
        <v/>
      </c>
      <c r="G208" s="53" t="str">
        <f>IFERROR(IF(SMALL(タスク!$AB$5:$AB$300,ROWS($A$7:A208))&gt;=1000000000000,"",INDEX(タスク!G$5:G$300,MATCH(SMALL(タスク!$AB$5:$AB$300,ROWS($A$7:A208)),タスク!$AB$5:$AB$300,0))),"")</f>
        <v/>
      </c>
      <c r="H208" s="53" t="str">
        <f>IFERROR(IF(SMALL(タスク!$AB$5:$AB$300,ROWS($A$7:A208))&gt;=1000000000000,"",INDEX(タスク!H$5:H$300,MATCH(SMALL(タスク!$AB$5:$AB$300,ROWS($A$7:A208)),タスク!$AB$5:$AB$300,0))),"")</f>
        <v/>
      </c>
      <c r="I208" s="53" t="str">
        <f>IFERROR(IF(SMALL(タスク!$AB$5:$AB$300,ROWS($A$7:A208))&gt;=1000000000000,"",INDEX(タスク!I$5:I$300,MATCH(SMALL(タスク!$AB$5:$AB$300,ROWS($A$7:A208)),タスク!$AB$5:$AB$300,0))),"")</f>
        <v/>
      </c>
      <c r="J208" s="53" t="str">
        <f>IFERROR(IF(SMALL(タスク!$AB$5:$AB$300,ROWS($A$7:A208))&gt;=1000000000000,"",INDEX(タスク!J$5:J$300,MATCH(SMALL(タスク!$AB$5:$AB$300,ROWS($A$7:A208)),タスク!$AB$5:$AB$300,0))),"")</f>
        <v/>
      </c>
    </row>
    <row r="209" spans="1:10">
      <c r="A209" s="53" t="str">
        <f>IFERROR(IF(SMALL(タスク!$AB$5:$AB$300,ROWS($A$7:A209))&gt;=1000000000000,"",INDEX(タスク!A$5:A$300,MATCH(SMALL(タスク!$AB$5:$AB$300,ROWS($A$7:A209)),タスク!$AB$5:$AB$300,0))),"")</f>
        <v/>
      </c>
      <c r="B209" s="53" t="str">
        <f>IFERROR(IF(SMALL(タスク!$AB$5:$AB$300,ROWS($A$7:A209))&gt;=1000000000000,"",INDEX(タスク!B$5:B$300,MATCH(SMALL(タスク!$AB$5:$AB$300,ROWS($A$7:A209)),タスク!$AB$5:$AB$300,0))),"")</f>
        <v/>
      </c>
      <c r="C209" s="53" t="str">
        <f>IFERROR(IF(SMALL(タスク!$AB$5:$AB$300,ROWS($A$7:A209))&gt;=1000000000000,"",INDEX(タスク!C$5:C$300,MATCH(SMALL(タスク!$AB$5:$AB$300,ROWS($A$7:A209)),タスク!$AB$5:$AB$300,0))),"")</f>
        <v/>
      </c>
      <c r="D209" s="53" t="str">
        <f>IFERROR(IF(SMALL(タスク!$AB$5:$AB$300,ROWS($A$7:A209))&gt;=1000000000000,"",INDEX(タスク!D$5:D$300,MATCH(SMALL(タスク!$AB$5:$AB$300,ROWS($A$7:A209)),タスク!$AB$5:$AB$300,0))),"")</f>
        <v/>
      </c>
      <c r="E209" s="53" t="str">
        <f>IFERROR(IF(SMALL(タスク!$AB$5:$AB$300,ROWS($A$7:A209))&gt;=1000000000000,"",INDEX(タスク!E$5:E$300,MATCH(SMALL(タスク!$AB$5:$AB$300,ROWS($A$7:A209)),タスク!$AB$5:$AB$300,0))),"")</f>
        <v/>
      </c>
      <c r="F209" s="53" t="str">
        <f>IFERROR(IF(SMALL(タスク!$AB$5:$AB$300,ROWS($A$7:A209))&gt;=1000000000000,"",INDEX(タスク!F$5:F$300,MATCH(SMALL(タスク!$AB$5:$AB$300,ROWS($A$7:A209)),タスク!$AB$5:$AB$300,0))),"")</f>
        <v/>
      </c>
      <c r="G209" s="53" t="str">
        <f>IFERROR(IF(SMALL(タスク!$AB$5:$AB$300,ROWS($A$7:A209))&gt;=1000000000000,"",INDEX(タスク!G$5:G$300,MATCH(SMALL(タスク!$AB$5:$AB$300,ROWS($A$7:A209)),タスク!$AB$5:$AB$300,0))),"")</f>
        <v/>
      </c>
      <c r="H209" s="53" t="str">
        <f>IFERROR(IF(SMALL(タスク!$AB$5:$AB$300,ROWS($A$7:A209))&gt;=1000000000000,"",INDEX(タスク!H$5:H$300,MATCH(SMALL(タスク!$AB$5:$AB$300,ROWS($A$7:A209)),タスク!$AB$5:$AB$300,0))),"")</f>
        <v/>
      </c>
      <c r="I209" s="53" t="str">
        <f>IFERROR(IF(SMALL(タスク!$AB$5:$AB$300,ROWS($A$7:A209))&gt;=1000000000000,"",INDEX(タスク!I$5:I$300,MATCH(SMALL(タスク!$AB$5:$AB$300,ROWS($A$7:A209)),タスク!$AB$5:$AB$300,0))),"")</f>
        <v/>
      </c>
      <c r="J209" s="53" t="str">
        <f>IFERROR(IF(SMALL(タスク!$AB$5:$AB$300,ROWS($A$7:A209))&gt;=1000000000000,"",INDEX(タスク!J$5:J$300,MATCH(SMALL(タスク!$AB$5:$AB$300,ROWS($A$7:A209)),タスク!$AB$5:$AB$300,0))),"")</f>
        <v/>
      </c>
    </row>
    <row r="210" spans="1:10">
      <c r="A210" s="53" t="str">
        <f>IFERROR(IF(SMALL(タスク!$AB$5:$AB$300,ROWS($A$7:A210))&gt;=1000000000000,"",INDEX(タスク!A$5:A$300,MATCH(SMALL(タスク!$AB$5:$AB$300,ROWS($A$7:A210)),タスク!$AB$5:$AB$300,0))),"")</f>
        <v/>
      </c>
      <c r="B210" s="53" t="str">
        <f>IFERROR(IF(SMALL(タスク!$AB$5:$AB$300,ROWS($A$7:A210))&gt;=1000000000000,"",INDEX(タスク!B$5:B$300,MATCH(SMALL(タスク!$AB$5:$AB$300,ROWS($A$7:A210)),タスク!$AB$5:$AB$300,0))),"")</f>
        <v/>
      </c>
      <c r="C210" s="53" t="str">
        <f>IFERROR(IF(SMALL(タスク!$AB$5:$AB$300,ROWS($A$7:A210))&gt;=1000000000000,"",INDEX(タスク!C$5:C$300,MATCH(SMALL(タスク!$AB$5:$AB$300,ROWS($A$7:A210)),タスク!$AB$5:$AB$300,0))),"")</f>
        <v/>
      </c>
      <c r="D210" s="53" t="str">
        <f>IFERROR(IF(SMALL(タスク!$AB$5:$AB$300,ROWS($A$7:A210))&gt;=1000000000000,"",INDEX(タスク!D$5:D$300,MATCH(SMALL(タスク!$AB$5:$AB$300,ROWS($A$7:A210)),タスク!$AB$5:$AB$300,0))),"")</f>
        <v/>
      </c>
      <c r="E210" s="53" t="str">
        <f>IFERROR(IF(SMALL(タスク!$AB$5:$AB$300,ROWS($A$7:A210))&gt;=1000000000000,"",INDEX(タスク!E$5:E$300,MATCH(SMALL(タスク!$AB$5:$AB$300,ROWS($A$7:A210)),タスク!$AB$5:$AB$300,0))),"")</f>
        <v/>
      </c>
      <c r="F210" s="53" t="str">
        <f>IFERROR(IF(SMALL(タスク!$AB$5:$AB$300,ROWS($A$7:A210))&gt;=1000000000000,"",INDEX(タスク!F$5:F$300,MATCH(SMALL(タスク!$AB$5:$AB$300,ROWS($A$7:A210)),タスク!$AB$5:$AB$300,0))),"")</f>
        <v/>
      </c>
      <c r="G210" s="53" t="str">
        <f>IFERROR(IF(SMALL(タスク!$AB$5:$AB$300,ROWS($A$7:A210))&gt;=1000000000000,"",INDEX(タスク!G$5:G$300,MATCH(SMALL(タスク!$AB$5:$AB$300,ROWS($A$7:A210)),タスク!$AB$5:$AB$300,0))),"")</f>
        <v/>
      </c>
      <c r="H210" s="53" t="str">
        <f>IFERROR(IF(SMALL(タスク!$AB$5:$AB$300,ROWS($A$7:A210))&gt;=1000000000000,"",INDEX(タスク!H$5:H$300,MATCH(SMALL(タスク!$AB$5:$AB$300,ROWS($A$7:A210)),タスク!$AB$5:$AB$300,0))),"")</f>
        <v/>
      </c>
      <c r="I210" s="53" t="str">
        <f>IFERROR(IF(SMALL(タスク!$AB$5:$AB$300,ROWS($A$7:A210))&gt;=1000000000000,"",INDEX(タスク!I$5:I$300,MATCH(SMALL(タスク!$AB$5:$AB$300,ROWS($A$7:A210)),タスク!$AB$5:$AB$300,0))),"")</f>
        <v/>
      </c>
      <c r="J210" s="53" t="str">
        <f>IFERROR(IF(SMALL(タスク!$AB$5:$AB$300,ROWS($A$7:A210))&gt;=1000000000000,"",INDEX(タスク!J$5:J$300,MATCH(SMALL(タスク!$AB$5:$AB$300,ROWS($A$7:A210)),タスク!$AB$5:$AB$300,0))),"")</f>
        <v/>
      </c>
    </row>
    <row r="211" spans="1:10">
      <c r="A211" s="53" t="str">
        <f>IFERROR(IF(SMALL(タスク!$AB$5:$AB$300,ROWS($A$7:A211))&gt;=1000000000000,"",INDEX(タスク!A$5:A$300,MATCH(SMALL(タスク!$AB$5:$AB$300,ROWS($A$7:A211)),タスク!$AB$5:$AB$300,0))),"")</f>
        <v/>
      </c>
      <c r="B211" s="53" t="str">
        <f>IFERROR(IF(SMALL(タスク!$AB$5:$AB$300,ROWS($A$7:A211))&gt;=1000000000000,"",INDEX(タスク!B$5:B$300,MATCH(SMALL(タスク!$AB$5:$AB$300,ROWS($A$7:A211)),タスク!$AB$5:$AB$300,0))),"")</f>
        <v/>
      </c>
      <c r="C211" s="53" t="str">
        <f>IFERROR(IF(SMALL(タスク!$AB$5:$AB$300,ROWS($A$7:A211))&gt;=1000000000000,"",INDEX(タスク!C$5:C$300,MATCH(SMALL(タスク!$AB$5:$AB$300,ROWS($A$7:A211)),タスク!$AB$5:$AB$300,0))),"")</f>
        <v/>
      </c>
      <c r="D211" s="53" t="str">
        <f>IFERROR(IF(SMALL(タスク!$AB$5:$AB$300,ROWS($A$7:A211))&gt;=1000000000000,"",INDEX(タスク!D$5:D$300,MATCH(SMALL(タスク!$AB$5:$AB$300,ROWS($A$7:A211)),タスク!$AB$5:$AB$300,0))),"")</f>
        <v/>
      </c>
      <c r="E211" s="53" t="str">
        <f>IFERROR(IF(SMALL(タスク!$AB$5:$AB$300,ROWS($A$7:A211))&gt;=1000000000000,"",INDEX(タスク!E$5:E$300,MATCH(SMALL(タスク!$AB$5:$AB$300,ROWS($A$7:A211)),タスク!$AB$5:$AB$300,0))),"")</f>
        <v/>
      </c>
      <c r="F211" s="53" t="str">
        <f>IFERROR(IF(SMALL(タスク!$AB$5:$AB$300,ROWS($A$7:A211))&gt;=1000000000000,"",INDEX(タスク!F$5:F$300,MATCH(SMALL(タスク!$AB$5:$AB$300,ROWS($A$7:A211)),タスク!$AB$5:$AB$300,0))),"")</f>
        <v/>
      </c>
      <c r="G211" s="53" t="str">
        <f>IFERROR(IF(SMALL(タスク!$AB$5:$AB$300,ROWS($A$7:A211))&gt;=1000000000000,"",INDEX(タスク!G$5:G$300,MATCH(SMALL(タスク!$AB$5:$AB$300,ROWS($A$7:A211)),タスク!$AB$5:$AB$300,0))),"")</f>
        <v/>
      </c>
      <c r="H211" s="53" t="str">
        <f>IFERROR(IF(SMALL(タスク!$AB$5:$AB$300,ROWS($A$7:A211))&gt;=1000000000000,"",INDEX(タスク!H$5:H$300,MATCH(SMALL(タスク!$AB$5:$AB$300,ROWS($A$7:A211)),タスク!$AB$5:$AB$300,0))),"")</f>
        <v/>
      </c>
      <c r="I211" s="53" t="str">
        <f>IFERROR(IF(SMALL(タスク!$AB$5:$AB$300,ROWS($A$7:A211))&gt;=1000000000000,"",INDEX(タスク!I$5:I$300,MATCH(SMALL(タスク!$AB$5:$AB$300,ROWS($A$7:A211)),タスク!$AB$5:$AB$300,0))),"")</f>
        <v/>
      </c>
      <c r="J211" s="53" t="str">
        <f>IFERROR(IF(SMALL(タスク!$AB$5:$AB$300,ROWS($A$7:A211))&gt;=1000000000000,"",INDEX(タスク!J$5:J$300,MATCH(SMALL(タスク!$AB$5:$AB$300,ROWS($A$7:A211)),タスク!$AB$5:$AB$300,0))),"")</f>
        <v/>
      </c>
    </row>
    <row r="212" spans="1:10">
      <c r="A212" s="53" t="str">
        <f>IFERROR(IF(SMALL(タスク!$AB$5:$AB$300,ROWS($A$7:A212))&gt;=1000000000000,"",INDEX(タスク!A$5:A$300,MATCH(SMALL(タスク!$AB$5:$AB$300,ROWS($A$7:A212)),タスク!$AB$5:$AB$300,0))),"")</f>
        <v/>
      </c>
      <c r="B212" s="53" t="str">
        <f>IFERROR(IF(SMALL(タスク!$AB$5:$AB$300,ROWS($A$7:A212))&gt;=1000000000000,"",INDEX(タスク!B$5:B$300,MATCH(SMALL(タスク!$AB$5:$AB$300,ROWS($A$7:A212)),タスク!$AB$5:$AB$300,0))),"")</f>
        <v/>
      </c>
      <c r="C212" s="53" t="str">
        <f>IFERROR(IF(SMALL(タスク!$AB$5:$AB$300,ROWS($A$7:A212))&gt;=1000000000000,"",INDEX(タスク!C$5:C$300,MATCH(SMALL(タスク!$AB$5:$AB$300,ROWS($A$7:A212)),タスク!$AB$5:$AB$300,0))),"")</f>
        <v/>
      </c>
      <c r="D212" s="53" t="str">
        <f>IFERROR(IF(SMALL(タスク!$AB$5:$AB$300,ROWS($A$7:A212))&gt;=1000000000000,"",INDEX(タスク!D$5:D$300,MATCH(SMALL(タスク!$AB$5:$AB$300,ROWS($A$7:A212)),タスク!$AB$5:$AB$300,0))),"")</f>
        <v/>
      </c>
      <c r="E212" s="53" t="str">
        <f>IFERROR(IF(SMALL(タスク!$AB$5:$AB$300,ROWS($A$7:A212))&gt;=1000000000000,"",INDEX(タスク!E$5:E$300,MATCH(SMALL(タスク!$AB$5:$AB$300,ROWS($A$7:A212)),タスク!$AB$5:$AB$300,0))),"")</f>
        <v/>
      </c>
      <c r="F212" s="53" t="str">
        <f>IFERROR(IF(SMALL(タスク!$AB$5:$AB$300,ROWS($A$7:A212))&gt;=1000000000000,"",INDEX(タスク!F$5:F$300,MATCH(SMALL(タスク!$AB$5:$AB$300,ROWS($A$7:A212)),タスク!$AB$5:$AB$300,0))),"")</f>
        <v/>
      </c>
      <c r="G212" s="53" t="str">
        <f>IFERROR(IF(SMALL(タスク!$AB$5:$AB$300,ROWS($A$7:A212))&gt;=1000000000000,"",INDEX(タスク!G$5:G$300,MATCH(SMALL(タスク!$AB$5:$AB$300,ROWS($A$7:A212)),タスク!$AB$5:$AB$300,0))),"")</f>
        <v/>
      </c>
      <c r="H212" s="53" t="str">
        <f>IFERROR(IF(SMALL(タスク!$AB$5:$AB$300,ROWS($A$7:A212))&gt;=1000000000000,"",INDEX(タスク!H$5:H$300,MATCH(SMALL(タスク!$AB$5:$AB$300,ROWS($A$7:A212)),タスク!$AB$5:$AB$300,0))),"")</f>
        <v/>
      </c>
      <c r="I212" s="53" t="str">
        <f>IFERROR(IF(SMALL(タスク!$AB$5:$AB$300,ROWS($A$7:A212))&gt;=1000000000000,"",INDEX(タスク!I$5:I$300,MATCH(SMALL(タスク!$AB$5:$AB$300,ROWS($A$7:A212)),タスク!$AB$5:$AB$300,0))),"")</f>
        <v/>
      </c>
      <c r="J212" s="53" t="str">
        <f>IFERROR(IF(SMALL(タスク!$AB$5:$AB$300,ROWS($A$7:A212))&gt;=1000000000000,"",INDEX(タスク!J$5:J$300,MATCH(SMALL(タスク!$AB$5:$AB$300,ROWS($A$7:A212)),タスク!$AB$5:$AB$300,0))),"")</f>
        <v/>
      </c>
    </row>
    <row r="213" spans="1:10">
      <c r="A213" s="53" t="str">
        <f>IFERROR(IF(SMALL(タスク!$AB$5:$AB$300,ROWS($A$7:A213))&gt;=1000000000000,"",INDEX(タスク!A$5:A$300,MATCH(SMALL(タスク!$AB$5:$AB$300,ROWS($A$7:A213)),タスク!$AB$5:$AB$300,0))),"")</f>
        <v/>
      </c>
      <c r="B213" s="53" t="str">
        <f>IFERROR(IF(SMALL(タスク!$AB$5:$AB$300,ROWS($A$7:A213))&gt;=1000000000000,"",INDEX(タスク!B$5:B$300,MATCH(SMALL(タスク!$AB$5:$AB$300,ROWS($A$7:A213)),タスク!$AB$5:$AB$300,0))),"")</f>
        <v/>
      </c>
      <c r="C213" s="53" t="str">
        <f>IFERROR(IF(SMALL(タスク!$AB$5:$AB$300,ROWS($A$7:A213))&gt;=1000000000000,"",INDEX(タスク!C$5:C$300,MATCH(SMALL(タスク!$AB$5:$AB$300,ROWS($A$7:A213)),タスク!$AB$5:$AB$300,0))),"")</f>
        <v/>
      </c>
      <c r="D213" s="53" t="str">
        <f>IFERROR(IF(SMALL(タスク!$AB$5:$AB$300,ROWS($A$7:A213))&gt;=1000000000000,"",INDEX(タスク!D$5:D$300,MATCH(SMALL(タスク!$AB$5:$AB$300,ROWS($A$7:A213)),タスク!$AB$5:$AB$300,0))),"")</f>
        <v/>
      </c>
      <c r="E213" s="53" t="str">
        <f>IFERROR(IF(SMALL(タスク!$AB$5:$AB$300,ROWS($A$7:A213))&gt;=1000000000000,"",INDEX(タスク!E$5:E$300,MATCH(SMALL(タスク!$AB$5:$AB$300,ROWS($A$7:A213)),タスク!$AB$5:$AB$300,0))),"")</f>
        <v/>
      </c>
      <c r="F213" s="53" t="str">
        <f>IFERROR(IF(SMALL(タスク!$AB$5:$AB$300,ROWS($A$7:A213))&gt;=1000000000000,"",INDEX(タスク!F$5:F$300,MATCH(SMALL(タスク!$AB$5:$AB$300,ROWS($A$7:A213)),タスク!$AB$5:$AB$300,0))),"")</f>
        <v/>
      </c>
      <c r="G213" s="53" t="str">
        <f>IFERROR(IF(SMALL(タスク!$AB$5:$AB$300,ROWS($A$7:A213))&gt;=1000000000000,"",INDEX(タスク!G$5:G$300,MATCH(SMALL(タスク!$AB$5:$AB$300,ROWS($A$7:A213)),タスク!$AB$5:$AB$300,0))),"")</f>
        <v/>
      </c>
      <c r="H213" s="53" t="str">
        <f>IFERROR(IF(SMALL(タスク!$AB$5:$AB$300,ROWS($A$7:A213))&gt;=1000000000000,"",INDEX(タスク!H$5:H$300,MATCH(SMALL(タスク!$AB$5:$AB$300,ROWS($A$7:A213)),タスク!$AB$5:$AB$300,0))),"")</f>
        <v/>
      </c>
      <c r="I213" s="53" t="str">
        <f>IFERROR(IF(SMALL(タスク!$AB$5:$AB$300,ROWS($A$7:A213))&gt;=1000000000000,"",INDEX(タスク!I$5:I$300,MATCH(SMALL(タスク!$AB$5:$AB$300,ROWS($A$7:A213)),タスク!$AB$5:$AB$300,0))),"")</f>
        <v/>
      </c>
      <c r="J213" s="53" t="str">
        <f>IFERROR(IF(SMALL(タスク!$AB$5:$AB$300,ROWS($A$7:A213))&gt;=1000000000000,"",INDEX(タスク!J$5:J$300,MATCH(SMALL(タスク!$AB$5:$AB$300,ROWS($A$7:A213)),タスク!$AB$5:$AB$300,0))),"")</f>
        <v/>
      </c>
    </row>
    <row r="214" spans="1:10">
      <c r="A214" s="53" t="str">
        <f>IFERROR(IF(SMALL(タスク!$AB$5:$AB$300,ROWS($A$7:A214))&gt;=1000000000000,"",INDEX(タスク!A$5:A$300,MATCH(SMALL(タスク!$AB$5:$AB$300,ROWS($A$7:A214)),タスク!$AB$5:$AB$300,0))),"")</f>
        <v/>
      </c>
      <c r="B214" s="53" t="str">
        <f>IFERROR(IF(SMALL(タスク!$AB$5:$AB$300,ROWS($A$7:A214))&gt;=1000000000000,"",INDEX(タスク!B$5:B$300,MATCH(SMALL(タスク!$AB$5:$AB$300,ROWS($A$7:A214)),タスク!$AB$5:$AB$300,0))),"")</f>
        <v/>
      </c>
      <c r="C214" s="53" t="str">
        <f>IFERROR(IF(SMALL(タスク!$AB$5:$AB$300,ROWS($A$7:A214))&gt;=1000000000000,"",INDEX(タスク!C$5:C$300,MATCH(SMALL(タスク!$AB$5:$AB$300,ROWS($A$7:A214)),タスク!$AB$5:$AB$300,0))),"")</f>
        <v/>
      </c>
      <c r="D214" s="53" t="str">
        <f>IFERROR(IF(SMALL(タスク!$AB$5:$AB$300,ROWS($A$7:A214))&gt;=1000000000000,"",INDEX(タスク!D$5:D$300,MATCH(SMALL(タスク!$AB$5:$AB$300,ROWS($A$7:A214)),タスク!$AB$5:$AB$300,0))),"")</f>
        <v/>
      </c>
      <c r="E214" s="53" t="str">
        <f>IFERROR(IF(SMALL(タスク!$AB$5:$AB$300,ROWS($A$7:A214))&gt;=1000000000000,"",INDEX(タスク!E$5:E$300,MATCH(SMALL(タスク!$AB$5:$AB$300,ROWS($A$7:A214)),タスク!$AB$5:$AB$300,0))),"")</f>
        <v/>
      </c>
      <c r="F214" s="53" t="str">
        <f>IFERROR(IF(SMALL(タスク!$AB$5:$AB$300,ROWS($A$7:A214))&gt;=1000000000000,"",INDEX(タスク!F$5:F$300,MATCH(SMALL(タスク!$AB$5:$AB$300,ROWS($A$7:A214)),タスク!$AB$5:$AB$300,0))),"")</f>
        <v/>
      </c>
      <c r="G214" s="53" t="str">
        <f>IFERROR(IF(SMALL(タスク!$AB$5:$AB$300,ROWS($A$7:A214))&gt;=1000000000000,"",INDEX(タスク!G$5:G$300,MATCH(SMALL(タスク!$AB$5:$AB$300,ROWS($A$7:A214)),タスク!$AB$5:$AB$300,0))),"")</f>
        <v/>
      </c>
      <c r="H214" s="53" t="str">
        <f>IFERROR(IF(SMALL(タスク!$AB$5:$AB$300,ROWS($A$7:A214))&gt;=1000000000000,"",INDEX(タスク!H$5:H$300,MATCH(SMALL(タスク!$AB$5:$AB$300,ROWS($A$7:A214)),タスク!$AB$5:$AB$300,0))),"")</f>
        <v/>
      </c>
      <c r="I214" s="53" t="str">
        <f>IFERROR(IF(SMALL(タスク!$AB$5:$AB$300,ROWS($A$7:A214))&gt;=1000000000000,"",INDEX(タスク!I$5:I$300,MATCH(SMALL(タスク!$AB$5:$AB$300,ROWS($A$7:A214)),タスク!$AB$5:$AB$300,0))),"")</f>
        <v/>
      </c>
      <c r="J214" s="53" t="str">
        <f>IFERROR(IF(SMALL(タスク!$AB$5:$AB$300,ROWS($A$7:A214))&gt;=1000000000000,"",INDEX(タスク!J$5:J$300,MATCH(SMALL(タスク!$AB$5:$AB$300,ROWS($A$7:A214)),タスク!$AB$5:$AB$300,0))),"")</f>
        <v/>
      </c>
    </row>
    <row r="215" spans="1:10">
      <c r="A215" s="53" t="str">
        <f>IFERROR(IF(SMALL(タスク!$AB$5:$AB$300,ROWS($A$7:A215))&gt;=1000000000000,"",INDEX(タスク!A$5:A$300,MATCH(SMALL(タスク!$AB$5:$AB$300,ROWS($A$7:A215)),タスク!$AB$5:$AB$300,0))),"")</f>
        <v/>
      </c>
      <c r="B215" s="53" t="str">
        <f>IFERROR(IF(SMALL(タスク!$AB$5:$AB$300,ROWS($A$7:A215))&gt;=1000000000000,"",INDEX(タスク!B$5:B$300,MATCH(SMALL(タスク!$AB$5:$AB$300,ROWS($A$7:A215)),タスク!$AB$5:$AB$300,0))),"")</f>
        <v/>
      </c>
      <c r="C215" s="53" t="str">
        <f>IFERROR(IF(SMALL(タスク!$AB$5:$AB$300,ROWS($A$7:A215))&gt;=1000000000000,"",INDEX(タスク!C$5:C$300,MATCH(SMALL(タスク!$AB$5:$AB$300,ROWS($A$7:A215)),タスク!$AB$5:$AB$300,0))),"")</f>
        <v/>
      </c>
      <c r="D215" s="53" t="str">
        <f>IFERROR(IF(SMALL(タスク!$AB$5:$AB$300,ROWS($A$7:A215))&gt;=1000000000000,"",INDEX(タスク!D$5:D$300,MATCH(SMALL(タスク!$AB$5:$AB$300,ROWS($A$7:A215)),タスク!$AB$5:$AB$300,0))),"")</f>
        <v/>
      </c>
      <c r="E215" s="53" t="str">
        <f>IFERROR(IF(SMALL(タスク!$AB$5:$AB$300,ROWS($A$7:A215))&gt;=1000000000000,"",INDEX(タスク!E$5:E$300,MATCH(SMALL(タスク!$AB$5:$AB$300,ROWS($A$7:A215)),タスク!$AB$5:$AB$300,0))),"")</f>
        <v/>
      </c>
      <c r="F215" s="53" t="str">
        <f>IFERROR(IF(SMALL(タスク!$AB$5:$AB$300,ROWS($A$7:A215))&gt;=1000000000000,"",INDEX(タスク!F$5:F$300,MATCH(SMALL(タスク!$AB$5:$AB$300,ROWS($A$7:A215)),タスク!$AB$5:$AB$300,0))),"")</f>
        <v/>
      </c>
      <c r="G215" s="53" t="str">
        <f>IFERROR(IF(SMALL(タスク!$AB$5:$AB$300,ROWS($A$7:A215))&gt;=1000000000000,"",INDEX(タスク!G$5:G$300,MATCH(SMALL(タスク!$AB$5:$AB$300,ROWS($A$7:A215)),タスク!$AB$5:$AB$300,0))),"")</f>
        <v/>
      </c>
      <c r="H215" s="53" t="str">
        <f>IFERROR(IF(SMALL(タスク!$AB$5:$AB$300,ROWS($A$7:A215))&gt;=1000000000000,"",INDEX(タスク!H$5:H$300,MATCH(SMALL(タスク!$AB$5:$AB$300,ROWS($A$7:A215)),タスク!$AB$5:$AB$300,0))),"")</f>
        <v/>
      </c>
      <c r="I215" s="53" t="str">
        <f>IFERROR(IF(SMALL(タスク!$AB$5:$AB$300,ROWS($A$7:A215))&gt;=1000000000000,"",INDEX(タスク!I$5:I$300,MATCH(SMALL(タスク!$AB$5:$AB$300,ROWS($A$7:A215)),タスク!$AB$5:$AB$300,0))),"")</f>
        <v/>
      </c>
      <c r="J215" s="53" t="str">
        <f>IFERROR(IF(SMALL(タスク!$AB$5:$AB$300,ROWS($A$7:A215))&gt;=1000000000000,"",INDEX(タスク!J$5:J$300,MATCH(SMALL(タスク!$AB$5:$AB$300,ROWS($A$7:A215)),タスク!$AB$5:$AB$300,0))),"")</f>
        <v/>
      </c>
    </row>
    <row r="216" spans="1:10">
      <c r="A216" s="53" t="str">
        <f>IFERROR(IF(SMALL(タスク!$AB$5:$AB$300,ROWS($A$7:A216))&gt;=1000000000000,"",INDEX(タスク!A$5:A$300,MATCH(SMALL(タスク!$AB$5:$AB$300,ROWS($A$7:A216)),タスク!$AB$5:$AB$300,0))),"")</f>
        <v/>
      </c>
      <c r="B216" s="53" t="str">
        <f>IFERROR(IF(SMALL(タスク!$AB$5:$AB$300,ROWS($A$7:A216))&gt;=1000000000000,"",INDEX(タスク!B$5:B$300,MATCH(SMALL(タスク!$AB$5:$AB$300,ROWS($A$7:A216)),タスク!$AB$5:$AB$300,0))),"")</f>
        <v/>
      </c>
      <c r="C216" s="53" t="str">
        <f>IFERROR(IF(SMALL(タスク!$AB$5:$AB$300,ROWS($A$7:A216))&gt;=1000000000000,"",INDEX(タスク!C$5:C$300,MATCH(SMALL(タスク!$AB$5:$AB$300,ROWS($A$7:A216)),タスク!$AB$5:$AB$300,0))),"")</f>
        <v/>
      </c>
      <c r="D216" s="53" t="str">
        <f>IFERROR(IF(SMALL(タスク!$AB$5:$AB$300,ROWS($A$7:A216))&gt;=1000000000000,"",INDEX(タスク!D$5:D$300,MATCH(SMALL(タスク!$AB$5:$AB$300,ROWS($A$7:A216)),タスク!$AB$5:$AB$300,0))),"")</f>
        <v/>
      </c>
      <c r="E216" s="53" t="str">
        <f>IFERROR(IF(SMALL(タスク!$AB$5:$AB$300,ROWS($A$7:A216))&gt;=1000000000000,"",INDEX(タスク!E$5:E$300,MATCH(SMALL(タスク!$AB$5:$AB$300,ROWS($A$7:A216)),タスク!$AB$5:$AB$300,0))),"")</f>
        <v/>
      </c>
      <c r="F216" s="53" t="str">
        <f>IFERROR(IF(SMALL(タスク!$AB$5:$AB$300,ROWS($A$7:A216))&gt;=1000000000000,"",INDEX(タスク!F$5:F$300,MATCH(SMALL(タスク!$AB$5:$AB$300,ROWS($A$7:A216)),タスク!$AB$5:$AB$300,0))),"")</f>
        <v/>
      </c>
      <c r="G216" s="53" t="str">
        <f>IFERROR(IF(SMALL(タスク!$AB$5:$AB$300,ROWS($A$7:A216))&gt;=1000000000000,"",INDEX(タスク!G$5:G$300,MATCH(SMALL(タスク!$AB$5:$AB$300,ROWS($A$7:A216)),タスク!$AB$5:$AB$300,0))),"")</f>
        <v/>
      </c>
      <c r="H216" s="53" t="str">
        <f>IFERROR(IF(SMALL(タスク!$AB$5:$AB$300,ROWS($A$7:A216))&gt;=1000000000000,"",INDEX(タスク!H$5:H$300,MATCH(SMALL(タスク!$AB$5:$AB$300,ROWS($A$7:A216)),タスク!$AB$5:$AB$300,0))),"")</f>
        <v/>
      </c>
      <c r="I216" s="53" t="str">
        <f>IFERROR(IF(SMALL(タスク!$AB$5:$AB$300,ROWS($A$7:A216))&gt;=1000000000000,"",INDEX(タスク!I$5:I$300,MATCH(SMALL(タスク!$AB$5:$AB$300,ROWS($A$7:A216)),タスク!$AB$5:$AB$300,0))),"")</f>
        <v/>
      </c>
      <c r="J216" s="53" t="str">
        <f>IFERROR(IF(SMALL(タスク!$AB$5:$AB$300,ROWS($A$7:A216))&gt;=1000000000000,"",INDEX(タスク!J$5:J$300,MATCH(SMALL(タスク!$AB$5:$AB$300,ROWS($A$7:A216)),タスク!$AB$5:$AB$300,0))),"")</f>
        <v/>
      </c>
    </row>
    <row r="217" spans="1:10">
      <c r="A217" s="53" t="str">
        <f>IFERROR(IF(SMALL(タスク!$AB$5:$AB$300,ROWS($A$7:A217))&gt;=1000000000000,"",INDEX(タスク!A$5:A$300,MATCH(SMALL(タスク!$AB$5:$AB$300,ROWS($A$7:A217)),タスク!$AB$5:$AB$300,0))),"")</f>
        <v/>
      </c>
      <c r="B217" s="53" t="str">
        <f>IFERROR(IF(SMALL(タスク!$AB$5:$AB$300,ROWS($A$7:A217))&gt;=1000000000000,"",INDEX(タスク!B$5:B$300,MATCH(SMALL(タスク!$AB$5:$AB$300,ROWS($A$7:A217)),タスク!$AB$5:$AB$300,0))),"")</f>
        <v/>
      </c>
      <c r="C217" s="53" t="str">
        <f>IFERROR(IF(SMALL(タスク!$AB$5:$AB$300,ROWS($A$7:A217))&gt;=1000000000000,"",INDEX(タスク!C$5:C$300,MATCH(SMALL(タスク!$AB$5:$AB$300,ROWS($A$7:A217)),タスク!$AB$5:$AB$300,0))),"")</f>
        <v/>
      </c>
      <c r="D217" s="53" t="str">
        <f>IFERROR(IF(SMALL(タスク!$AB$5:$AB$300,ROWS($A$7:A217))&gt;=1000000000000,"",INDEX(タスク!D$5:D$300,MATCH(SMALL(タスク!$AB$5:$AB$300,ROWS($A$7:A217)),タスク!$AB$5:$AB$300,0))),"")</f>
        <v/>
      </c>
      <c r="E217" s="53" t="str">
        <f>IFERROR(IF(SMALL(タスク!$AB$5:$AB$300,ROWS($A$7:A217))&gt;=1000000000000,"",INDEX(タスク!E$5:E$300,MATCH(SMALL(タスク!$AB$5:$AB$300,ROWS($A$7:A217)),タスク!$AB$5:$AB$300,0))),"")</f>
        <v/>
      </c>
      <c r="F217" s="53" t="str">
        <f>IFERROR(IF(SMALL(タスク!$AB$5:$AB$300,ROWS($A$7:A217))&gt;=1000000000000,"",INDEX(タスク!F$5:F$300,MATCH(SMALL(タスク!$AB$5:$AB$300,ROWS($A$7:A217)),タスク!$AB$5:$AB$300,0))),"")</f>
        <v/>
      </c>
      <c r="G217" s="53" t="str">
        <f>IFERROR(IF(SMALL(タスク!$AB$5:$AB$300,ROWS($A$7:A217))&gt;=1000000000000,"",INDEX(タスク!G$5:G$300,MATCH(SMALL(タスク!$AB$5:$AB$300,ROWS($A$7:A217)),タスク!$AB$5:$AB$300,0))),"")</f>
        <v/>
      </c>
      <c r="H217" s="53" t="str">
        <f>IFERROR(IF(SMALL(タスク!$AB$5:$AB$300,ROWS($A$7:A217))&gt;=1000000000000,"",INDEX(タスク!H$5:H$300,MATCH(SMALL(タスク!$AB$5:$AB$300,ROWS($A$7:A217)),タスク!$AB$5:$AB$300,0))),"")</f>
        <v/>
      </c>
      <c r="I217" s="53" t="str">
        <f>IFERROR(IF(SMALL(タスク!$AB$5:$AB$300,ROWS($A$7:A217))&gt;=1000000000000,"",INDEX(タスク!I$5:I$300,MATCH(SMALL(タスク!$AB$5:$AB$300,ROWS($A$7:A217)),タスク!$AB$5:$AB$300,0))),"")</f>
        <v/>
      </c>
      <c r="J217" s="53" t="str">
        <f>IFERROR(IF(SMALL(タスク!$AB$5:$AB$300,ROWS($A$7:A217))&gt;=1000000000000,"",INDEX(タスク!J$5:J$300,MATCH(SMALL(タスク!$AB$5:$AB$300,ROWS($A$7:A217)),タスク!$AB$5:$AB$300,0))),"")</f>
        <v/>
      </c>
    </row>
    <row r="218" spans="1:10">
      <c r="A218" s="53" t="str">
        <f>IFERROR(IF(SMALL(タスク!$AB$5:$AB$300,ROWS($A$7:A218))&gt;=1000000000000,"",INDEX(タスク!A$5:A$300,MATCH(SMALL(タスク!$AB$5:$AB$300,ROWS($A$7:A218)),タスク!$AB$5:$AB$300,0))),"")</f>
        <v/>
      </c>
      <c r="B218" s="53" t="str">
        <f>IFERROR(IF(SMALL(タスク!$AB$5:$AB$300,ROWS($A$7:A218))&gt;=1000000000000,"",INDEX(タスク!B$5:B$300,MATCH(SMALL(タスク!$AB$5:$AB$300,ROWS($A$7:A218)),タスク!$AB$5:$AB$300,0))),"")</f>
        <v/>
      </c>
      <c r="C218" s="53" t="str">
        <f>IFERROR(IF(SMALL(タスク!$AB$5:$AB$300,ROWS($A$7:A218))&gt;=1000000000000,"",INDEX(タスク!C$5:C$300,MATCH(SMALL(タスク!$AB$5:$AB$300,ROWS($A$7:A218)),タスク!$AB$5:$AB$300,0))),"")</f>
        <v/>
      </c>
      <c r="D218" s="53" t="str">
        <f>IFERROR(IF(SMALL(タスク!$AB$5:$AB$300,ROWS($A$7:A218))&gt;=1000000000000,"",INDEX(タスク!D$5:D$300,MATCH(SMALL(タスク!$AB$5:$AB$300,ROWS($A$7:A218)),タスク!$AB$5:$AB$300,0))),"")</f>
        <v/>
      </c>
      <c r="E218" s="53" t="str">
        <f>IFERROR(IF(SMALL(タスク!$AB$5:$AB$300,ROWS($A$7:A218))&gt;=1000000000000,"",INDEX(タスク!E$5:E$300,MATCH(SMALL(タスク!$AB$5:$AB$300,ROWS($A$7:A218)),タスク!$AB$5:$AB$300,0))),"")</f>
        <v/>
      </c>
      <c r="F218" s="53" t="str">
        <f>IFERROR(IF(SMALL(タスク!$AB$5:$AB$300,ROWS($A$7:A218))&gt;=1000000000000,"",INDEX(タスク!F$5:F$300,MATCH(SMALL(タスク!$AB$5:$AB$300,ROWS($A$7:A218)),タスク!$AB$5:$AB$300,0))),"")</f>
        <v/>
      </c>
      <c r="G218" s="53" t="str">
        <f>IFERROR(IF(SMALL(タスク!$AB$5:$AB$300,ROWS($A$7:A218))&gt;=1000000000000,"",INDEX(タスク!G$5:G$300,MATCH(SMALL(タスク!$AB$5:$AB$300,ROWS($A$7:A218)),タスク!$AB$5:$AB$300,0))),"")</f>
        <v/>
      </c>
      <c r="H218" s="53" t="str">
        <f>IFERROR(IF(SMALL(タスク!$AB$5:$AB$300,ROWS($A$7:A218))&gt;=1000000000000,"",INDEX(タスク!H$5:H$300,MATCH(SMALL(タスク!$AB$5:$AB$300,ROWS($A$7:A218)),タスク!$AB$5:$AB$300,0))),"")</f>
        <v/>
      </c>
      <c r="I218" s="53" t="str">
        <f>IFERROR(IF(SMALL(タスク!$AB$5:$AB$300,ROWS($A$7:A218))&gt;=1000000000000,"",INDEX(タスク!I$5:I$300,MATCH(SMALL(タスク!$AB$5:$AB$300,ROWS($A$7:A218)),タスク!$AB$5:$AB$300,0))),"")</f>
        <v/>
      </c>
      <c r="J218" s="53" t="str">
        <f>IFERROR(IF(SMALL(タスク!$AB$5:$AB$300,ROWS($A$7:A218))&gt;=1000000000000,"",INDEX(タスク!J$5:J$300,MATCH(SMALL(タスク!$AB$5:$AB$300,ROWS($A$7:A218)),タスク!$AB$5:$AB$300,0))),"")</f>
        <v/>
      </c>
    </row>
    <row r="219" spans="1:10">
      <c r="A219" s="53" t="str">
        <f>IFERROR(IF(SMALL(タスク!$AB$5:$AB$300,ROWS($A$7:A219))&gt;=1000000000000,"",INDEX(タスク!A$5:A$300,MATCH(SMALL(タスク!$AB$5:$AB$300,ROWS($A$7:A219)),タスク!$AB$5:$AB$300,0))),"")</f>
        <v/>
      </c>
      <c r="B219" s="53" t="str">
        <f>IFERROR(IF(SMALL(タスク!$AB$5:$AB$300,ROWS($A$7:A219))&gt;=1000000000000,"",INDEX(タスク!B$5:B$300,MATCH(SMALL(タスク!$AB$5:$AB$300,ROWS($A$7:A219)),タスク!$AB$5:$AB$300,0))),"")</f>
        <v/>
      </c>
      <c r="C219" s="53" t="str">
        <f>IFERROR(IF(SMALL(タスク!$AB$5:$AB$300,ROWS($A$7:A219))&gt;=1000000000000,"",INDEX(タスク!C$5:C$300,MATCH(SMALL(タスク!$AB$5:$AB$300,ROWS($A$7:A219)),タスク!$AB$5:$AB$300,0))),"")</f>
        <v/>
      </c>
      <c r="D219" s="53" t="str">
        <f>IFERROR(IF(SMALL(タスク!$AB$5:$AB$300,ROWS($A$7:A219))&gt;=1000000000000,"",INDEX(タスク!D$5:D$300,MATCH(SMALL(タスク!$AB$5:$AB$300,ROWS($A$7:A219)),タスク!$AB$5:$AB$300,0))),"")</f>
        <v/>
      </c>
      <c r="E219" s="53" t="str">
        <f>IFERROR(IF(SMALL(タスク!$AB$5:$AB$300,ROWS($A$7:A219))&gt;=1000000000000,"",INDEX(タスク!E$5:E$300,MATCH(SMALL(タスク!$AB$5:$AB$300,ROWS($A$7:A219)),タスク!$AB$5:$AB$300,0))),"")</f>
        <v/>
      </c>
      <c r="F219" s="53" t="str">
        <f>IFERROR(IF(SMALL(タスク!$AB$5:$AB$300,ROWS($A$7:A219))&gt;=1000000000000,"",INDEX(タスク!F$5:F$300,MATCH(SMALL(タスク!$AB$5:$AB$300,ROWS($A$7:A219)),タスク!$AB$5:$AB$300,0))),"")</f>
        <v/>
      </c>
      <c r="G219" s="53" t="str">
        <f>IFERROR(IF(SMALL(タスク!$AB$5:$AB$300,ROWS($A$7:A219))&gt;=1000000000000,"",INDEX(タスク!G$5:G$300,MATCH(SMALL(タスク!$AB$5:$AB$300,ROWS($A$7:A219)),タスク!$AB$5:$AB$300,0))),"")</f>
        <v/>
      </c>
      <c r="H219" s="53" t="str">
        <f>IFERROR(IF(SMALL(タスク!$AB$5:$AB$300,ROWS($A$7:A219))&gt;=1000000000000,"",INDEX(タスク!H$5:H$300,MATCH(SMALL(タスク!$AB$5:$AB$300,ROWS($A$7:A219)),タスク!$AB$5:$AB$300,0))),"")</f>
        <v/>
      </c>
      <c r="I219" s="53" t="str">
        <f>IFERROR(IF(SMALL(タスク!$AB$5:$AB$300,ROWS($A$7:A219))&gt;=1000000000000,"",INDEX(タスク!I$5:I$300,MATCH(SMALL(タスク!$AB$5:$AB$300,ROWS($A$7:A219)),タスク!$AB$5:$AB$300,0))),"")</f>
        <v/>
      </c>
      <c r="J219" s="53" t="str">
        <f>IFERROR(IF(SMALL(タスク!$AB$5:$AB$300,ROWS($A$7:A219))&gt;=1000000000000,"",INDEX(タスク!J$5:J$300,MATCH(SMALL(タスク!$AB$5:$AB$300,ROWS($A$7:A219)),タスク!$AB$5:$AB$300,0))),"")</f>
        <v/>
      </c>
    </row>
    <row r="220" spans="1:10">
      <c r="A220" s="53" t="str">
        <f>IFERROR(IF(SMALL(タスク!$AB$5:$AB$300,ROWS($A$7:A220))&gt;=1000000000000,"",INDEX(タスク!A$5:A$300,MATCH(SMALL(タスク!$AB$5:$AB$300,ROWS($A$7:A220)),タスク!$AB$5:$AB$300,0))),"")</f>
        <v/>
      </c>
      <c r="B220" s="53" t="str">
        <f>IFERROR(IF(SMALL(タスク!$AB$5:$AB$300,ROWS($A$7:A220))&gt;=1000000000000,"",INDEX(タスク!B$5:B$300,MATCH(SMALL(タスク!$AB$5:$AB$300,ROWS($A$7:A220)),タスク!$AB$5:$AB$300,0))),"")</f>
        <v/>
      </c>
      <c r="C220" s="53" t="str">
        <f>IFERROR(IF(SMALL(タスク!$AB$5:$AB$300,ROWS($A$7:A220))&gt;=1000000000000,"",INDEX(タスク!C$5:C$300,MATCH(SMALL(タスク!$AB$5:$AB$300,ROWS($A$7:A220)),タスク!$AB$5:$AB$300,0))),"")</f>
        <v/>
      </c>
      <c r="D220" s="53" t="str">
        <f>IFERROR(IF(SMALL(タスク!$AB$5:$AB$300,ROWS($A$7:A220))&gt;=1000000000000,"",INDEX(タスク!D$5:D$300,MATCH(SMALL(タスク!$AB$5:$AB$300,ROWS($A$7:A220)),タスク!$AB$5:$AB$300,0))),"")</f>
        <v/>
      </c>
      <c r="E220" s="53" t="str">
        <f>IFERROR(IF(SMALL(タスク!$AB$5:$AB$300,ROWS($A$7:A220))&gt;=1000000000000,"",INDEX(タスク!E$5:E$300,MATCH(SMALL(タスク!$AB$5:$AB$300,ROWS($A$7:A220)),タスク!$AB$5:$AB$300,0))),"")</f>
        <v/>
      </c>
      <c r="F220" s="53" t="str">
        <f>IFERROR(IF(SMALL(タスク!$AB$5:$AB$300,ROWS($A$7:A220))&gt;=1000000000000,"",INDEX(タスク!F$5:F$300,MATCH(SMALL(タスク!$AB$5:$AB$300,ROWS($A$7:A220)),タスク!$AB$5:$AB$300,0))),"")</f>
        <v/>
      </c>
      <c r="G220" s="53" t="str">
        <f>IFERROR(IF(SMALL(タスク!$AB$5:$AB$300,ROWS($A$7:A220))&gt;=1000000000000,"",INDEX(タスク!G$5:G$300,MATCH(SMALL(タスク!$AB$5:$AB$300,ROWS($A$7:A220)),タスク!$AB$5:$AB$300,0))),"")</f>
        <v/>
      </c>
      <c r="H220" s="53" t="str">
        <f>IFERROR(IF(SMALL(タスク!$AB$5:$AB$300,ROWS($A$7:A220))&gt;=1000000000000,"",INDEX(タスク!H$5:H$300,MATCH(SMALL(タスク!$AB$5:$AB$300,ROWS($A$7:A220)),タスク!$AB$5:$AB$300,0))),"")</f>
        <v/>
      </c>
      <c r="I220" s="53" t="str">
        <f>IFERROR(IF(SMALL(タスク!$AB$5:$AB$300,ROWS($A$7:A220))&gt;=1000000000000,"",INDEX(タスク!I$5:I$300,MATCH(SMALL(タスク!$AB$5:$AB$300,ROWS($A$7:A220)),タスク!$AB$5:$AB$300,0))),"")</f>
        <v/>
      </c>
      <c r="J220" s="53" t="str">
        <f>IFERROR(IF(SMALL(タスク!$AB$5:$AB$300,ROWS($A$7:A220))&gt;=1000000000000,"",INDEX(タスク!J$5:J$300,MATCH(SMALL(タスク!$AB$5:$AB$300,ROWS($A$7:A220)),タスク!$AB$5:$AB$300,0))),"")</f>
        <v/>
      </c>
    </row>
    <row r="221" spans="1:10">
      <c r="A221" s="53" t="str">
        <f>IFERROR(IF(SMALL(タスク!$AB$5:$AB$300,ROWS($A$7:A221))&gt;=1000000000000,"",INDEX(タスク!A$5:A$300,MATCH(SMALL(タスク!$AB$5:$AB$300,ROWS($A$7:A221)),タスク!$AB$5:$AB$300,0))),"")</f>
        <v/>
      </c>
      <c r="B221" s="53" t="str">
        <f>IFERROR(IF(SMALL(タスク!$AB$5:$AB$300,ROWS($A$7:A221))&gt;=1000000000000,"",INDEX(タスク!B$5:B$300,MATCH(SMALL(タスク!$AB$5:$AB$300,ROWS($A$7:A221)),タスク!$AB$5:$AB$300,0))),"")</f>
        <v/>
      </c>
      <c r="C221" s="53" t="str">
        <f>IFERROR(IF(SMALL(タスク!$AB$5:$AB$300,ROWS($A$7:A221))&gt;=1000000000000,"",INDEX(タスク!C$5:C$300,MATCH(SMALL(タスク!$AB$5:$AB$300,ROWS($A$7:A221)),タスク!$AB$5:$AB$300,0))),"")</f>
        <v/>
      </c>
      <c r="D221" s="53" t="str">
        <f>IFERROR(IF(SMALL(タスク!$AB$5:$AB$300,ROWS($A$7:A221))&gt;=1000000000000,"",INDEX(タスク!D$5:D$300,MATCH(SMALL(タスク!$AB$5:$AB$300,ROWS($A$7:A221)),タスク!$AB$5:$AB$300,0))),"")</f>
        <v/>
      </c>
      <c r="E221" s="53" t="str">
        <f>IFERROR(IF(SMALL(タスク!$AB$5:$AB$300,ROWS($A$7:A221))&gt;=1000000000000,"",INDEX(タスク!E$5:E$300,MATCH(SMALL(タスク!$AB$5:$AB$300,ROWS($A$7:A221)),タスク!$AB$5:$AB$300,0))),"")</f>
        <v/>
      </c>
      <c r="F221" s="53" t="str">
        <f>IFERROR(IF(SMALL(タスク!$AB$5:$AB$300,ROWS($A$7:A221))&gt;=1000000000000,"",INDEX(タスク!F$5:F$300,MATCH(SMALL(タスク!$AB$5:$AB$300,ROWS($A$7:A221)),タスク!$AB$5:$AB$300,0))),"")</f>
        <v/>
      </c>
      <c r="G221" s="53" t="str">
        <f>IFERROR(IF(SMALL(タスク!$AB$5:$AB$300,ROWS($A$7:A221))&gt;=1000000000000,"",INDEX(タスク!G$5:G$300,MATCH(SMALL(タスク!$AB$5:$AB$300,ROWS($A$7:A221)),タスク!$AB$5:$AB$300,0))),"")</f>
        <v/>
      </c>
      <c r="H221" s="53" t="str">
        <f>IFERROR(IF(SMALL(タスク!$AB$5:$AB$300,ROWS($A$7:A221))&gt;=1000000000000,"",INDEX(タスク!H$5:H$300,MATCH(SMALL(タスク!$AB$5:$AB$300,ROWS($A$7:A221)),タスク!$AB$5:$AB$300,0))),"")</f>
        <v/>
      </c>
      <c r="I221" s="53" t="str">
        <f>IFERROR(IF(SMALL(タスク!$AB$5:$AB$300,ROWS($A$7:A221))&gt;=1000000000000,"",INDEX(タスク!I$5:I$300,MATCH(SMALL(タスク!$AB$5:$AB$300,ROWS($A$7:A221)),タスク!$AB$5:$AB$300,0))),"")</f>
        <v/>
      </c>
      <c r="J221" s="53" t="str">
        <f>IFERROR(IF(SMALL(タスク!$AB$5:$AB$300,ROWS($A$7:A221))&gt;=1000000000000,"",INDEX(タスク!J$5:J$300,MATCH(SMALL(タスク!$AB$5:$AB$300,ROWS($A$7:A221)),タスク!$AB$5:$AB$300,0))),"")</f>
        <v/>
      </c>
    </row>
    <row r="222" spans="1:10">
      <c r="A222" s="53" t="str">
        <f>IFERROR(IF(SMALL(タスク!$AB$5:$AB$300,ROWS($A$7:A222))&gt;=1000000000000,"",INDEX(タスク!A$5:A$300,MATCH(SMALL(タスク!$AB$5:$AB$300,ROWS($A$7:A222)),タスク!$AB$5:$AB$300,0))),"")</f>
        <v/>
      </c>
      <c r="B222" s="53" t="str">
        <f>IFERROR(IF(SMALL(タスク!$AB$5:$AB$300,ROWS($A$7:A222))&gt;=1000000000000,"",INDEX(タスク!B$5:B$300,MATCH(SMALL(タスク!$AB$5:$AB$300,ROWS($A$7:A222)),タスク!$AB$5:$AB$300,0))),"")</f>
        <v/>
      </c>
      <c r="C222" s="53" t="str">
        <f>IFERROR(IF(SMALL(タスク!$AB$5:$AB$300,ROWS($A$7:A222))&gt;=1000000000000,"",INDEX(タスク!C$5:C$300,MATCH(SMALL(タスク!$AB$5:$AB$300,ROWS($A$7:A222)),タスク!$AB$5:$AB$300,0))),"")</f>
        <v/>
      </c>
      <c r="D222" s="53" t="str">
        <f>IFERROR(IF(SMALL(タスク!$AB$5:$AB$300,ROWS($A$7:A222))&gt;=1000000000000,"",INDEX(タスク!D$5:D$300,MATCH(SMALL(タスク!$AB$5:$AB$300,ROWS($A$7:A222)),タスク!$AB$5:$AB$300,0))),"")</f>
        <v/>
      </c>
      <c r="E222" s="53" t="str">
        <f>IFERROR(IF(SMALL(タスク!$AB$5:$AB$300,ROWS($A$7:A222))&gt;=1000000000000,"",INDEX(タスク!E$5:E$300,MATCH(SMALL(タスク!$AB$5:$AB$300,ROWS($A$7:A222)),タスク!$AB$5:$AB$300,0))),"")</f>
        <v/>
      </c>
      <c r="F222" s="53" t="str">
        <f>IFERROR(IF(SMALL(タスク!$AB$5:$AB$300,ROWS($A$7:A222))&gt;=1000000000000,"",INDEX(タスク!F$5:F$300,MATCH(SMALL(タスク!$AB$5:$AB$300,ROWS($A$7:A222)),タスク!$AB$5:$AB$300,0))),"")</f>
        <v/>
      </c>
      <c r="G222" s="53" t="str">
        <f>IFERROR(IF(SMALL(タスク!$AB$5:$AB$300,ROWS($A$7:A222))&gt;=1000000000000,"",INDEX(タスク!G$5:G$300,MATCH(SMALL(タスク!$AB$5:$AB$300,ROWS($A$7:A222)),タスク!$AB$5:$AB$300,0))),"")</f>
        <v/>
      </c>
      <c r="H222" s="53" t="str">
        <f>IFERROR(IF(SMALL(タスク!$AB$5:$AB$300,ROWS($A$7:A222))&gt;=1000000000000,"",INDEX(タスク!H$5:H$300,MATCH(SMALL(タスク!$AB$5:$AB$300,ROWS($A$7:A222)),タスク!$AB$5:$AB$300,0))),"")</f>
        <v/>
      </c>
      <c r="I222" s="53" t="str">
        <f>IFERROR(IF(SMALL(タスク!$AB$5:$AB$300,ROWS($A$7:A222))&gt;=1000000000000,"",INDEX(タスク!I$5:I$300,MATCH(SMALL(タスク!$AB$5:$AB$300,ROWS($A$7:A222)),タスク!$AB$5:$AB$300,0))),"")</f>
        <v/>
      </c>
      <c r="J222" s="53" t="str">
        <f>IFERROR(IF(SMALL(タスク!$AB$5:$AB$300,ROWS($A$7:A222))&gt;=1000000000000,"",INDEX(タスク!J$5:J$300,MATCH(SMALL(タスク!$AB$5:$AB$300,ROWS($A$7:A222)),タスク!$AB$5:$AB$300,0))),"")</f>
        <v/>
      </c>
    </row>
    <row r="223" spans="1:10">
      <c r="A223" s="53" t="str">
        <f>IFERROR(IF(SMALL(タスク!$AB$5:$AB$300,ROWS($A$7:A223))&gt;=1000000000000,"",INDEX(タスク!A$5:A$300,MATCH(SMALL(タスク!$AB$5:$AB$300,ROWS($A$7:A223)),タスク!$AB$5:$AB$300,0))),"")</f>
        <v/>
      </c>
      <c r="B223" s="53" t="str">
        <f>IFERROR(IF(SMALL(タスク!$AB$5:$AB$300,ROWS($A$7:A223))&gt;=1000000000000,"",INDEX(タスク!B$5:B$300,MATCH(SMALL(タスク!$AB$5:$AB$300,ROWS($A$7:A223)),タスク!$AB$5:$AB$300,0))),"")</f>
        <v/>
      </c>
      <c r="C223" s="53" t="str">
        <f>IFERROR(IF(SMALL(タスク!$AB$5:$AB$300,ROWS($A$7:A223))&gt;=1000000000000,"",INDEX(タスク!C$5:C$300,MATCH(SMALL(タスク!$AB$5:$AB$300,ROWS($A$7:A223)),タスク!$AB$5:$AB$300,0))),"")</f>
        <v/>
      </c>
      <c r="D223" s="53" t="str">
        <f>IFERROR(IF(SMALL(タスク!$AB$5:$AB$300,ROWS($A$7:A223))&gt;=1000000000000,"",INDEX(タスク!D$5:D$300,MATCH(SMALL(タスク!$AB$5:$AB$300,ROWS($A$7:A223)),タスク!$AB$5:$AB$300,0))),"")</f>
        <v/>
      </c>
      <c r="E223" s="53" t="str">
        <f>IFERROR(IF(SMALL(タスク!$AB$5:$AB$300,ROWS($A$7:A223))&gt;=1000000000000,"",INDEX(タスク!E$5:E$300,MATCH(SMALL(タスク!$AB$5:$AB$300,ROWS($A$7:A223)),タスク!$AB$5:$AB$300,0))),"")</f>
        <v/>
      </c>
      <c r="F223" s="53" t="str">
        <f>IFERROR(IF(SMALL(タスク!$AB$5:$AB$300,ROWS($A$7:A223))&gt;=1000000000000,"",INDEX(タスク!F$5:F$300,MATCH(SMALL(タスク!$AB$5:$AB$300,ROWS($A$7:A223)),タスク!$AB$5:$AB$300,0))),"")</f>
        <v/>
      </c>
      <c r="G223" s="53" t="str">
        <f>IFERROR(IF(SMALL(タスク!$AB$5:$AB$300,ROWS($A$7:A223))&gt;=1000000000000,"",INDEX(タスク!G$5:G$300,MATCH(SMALL(タスク!$AB$5:$AB$300,ROWS($A$7:A223)),タスク!$AB$5:$AB$300,0))),"")</f>
        <v/>
      </c>
      <c r="H223" s="53" t="str">
        <f>IFERROR(IF(SMALL(タスク!$AB$5:$AB$300,ROWS($A$7:A223))&gt;=1000000000000,"",INDEX(タスク!H$5:H$300,MATCH(SMALL(タスク!$AB$5:$AB$300,ROWS($A$7:A223)),タスク!$AB$5:$AB$300,0))),"")</f>
        <v/>
      </c>
      <c r="I223" s="53" t="str">
        <f>IFERROR(IF(SMALL(タスク!$AB$5:$AB$300,ROWS($A$7:A223))&gt;=1000000000000,"",INDEX(タスク!I$5:I$300,MATCH(SMALL(タスク!$AB$5:$AB$300,ROWS($A$7:A223)),タスク!$AB$5:$AB$300,0))),"")</f>
        <v/>
      </c>
      <c r="J223" s="53" t="str">
        <f>IFERROR(IF(SMALL(タスク!$AB$5:$AB$300,ROWS($A$7:A223))&gt;=1000000000000,"",INDEX(タスク!J$5:J$300,MATCH(SMALL(タスク!$AB$5:$AB$300,ROWS($A$7:A223)),タスク!$AB$5:$AB$300,0))),"")</f>
        <v/>
      </c>
    </row>
    <row r="224" spans="1:10">
      <c r="A224" s="53" t="str">
        <f>IFERROR(IF(SMALL(タスク!$AB$5:$AB$300,ROWS($A$7:A224))&gt;=1000000000000,"",INDEX(タスク!A$5:A$300,MATCH(SMALL(タスク!$AB$5:$AB$300,ROWS($A$7:A224)),タスク!$AB$5:$AB$300,0))),"")</f>
        <v/>
      </c>
      <c r="B224" s="53" t="str">
        <f>IFERROR(IF(SMALL(タスク!$AB$5:$AB$300,ROWS($A$7:A224))&gt;=1000000000000,"",INDEX(タスク!B$5:B$300,MATCH(SMALL(タスク!$AB$5:$AB$300,ROWS($A$7:A224)),タスク!$AB$5:$AB$300,0))),"")</f>
        <v/>
      </c>
      <c r="C224" s="53" t="str">
        <f>IFERROR(IF(SMALL(タスク!$AB$5:$AB$300,ROWS($A$7:A224))&gt;=1000000000000,"",INDEX(タスク!C$5:C$300,MATCH(SMALL(タスク!$AB$5:$AB$300,ROWS($A$7:A224)),タスク!$AB$5:$AB$300,0))),"")</f>
        <v/>
      </c>
      <c r="D224" s="53" t="str">
        <f>IFERROR(IF(SMALL(タスク!$AB$5:$AB$300,ROWS($A$7:A224))&gt;=1000000000000,"",INDEX(タスク!D$5:D$300,MATCH(SMALL(タスク!$AB$5:$AB$300,ROWS($A$7:A224)),タスク!$AB$5:$AB$300,0))),"")</f>
        <v/>
      </c>
      <c r="E224" s="53" t="str">
        <f>IFERROR(IF(SMALL(タスク!$AB$5:$AB$300,ROWS($A$7:A224))&gt;=1000000000000,"",INDEX(タスク!E$5:E$300,MATCH(SMALL(タスク!$AB$5:$AB$300,ROWS($A$7:A224)),タスク!$AB$5:$AB$300,0))),"")</f>
        <v/>
      </c>
      <c r="F224" s="53" t="str">
        <f>IFERROR(IF(SMALL(タスク!$AB$5:$AB$300,ROWS($A$7:A224))&gt;=1000000000000,"",INDEX(タスク!F$5:F$300,MATCH(SMALL(タスク!$AB$5:$AB$300,ROWS($A$7:A224)),タスク!$AB$5:$AB$300,0))),"")</f>
        <v/>
      </c>
      <c r="G224" s="53" t="str">
        <f>IFERROR(IF(SMALL(タスク!$AB$5:$AB$300,ROWS($A$7:A224))&gt;=1000000000000,"",INDEX(タスク!G$5:G$300,MATCH(SMALL(タスク!$AB$5:$AB$300,ROWS($A$7:A224)),タスク!$AB$5:$AB$300,0))),"")</f>
        <v/>
      </c>
      <c r="H224" s="53" t="str">
        <f>IFERROR(IF(SMALL(タスク!$AB$5:$AB$300,ROWS($A$7:A224))&gt;=1000000000000,"",INDEX(タスク!H$5:H$300,MATCH(SMALL(タスク!$AB$5:$AB$300,ROWS($A$7:A224)),タスク!$AB$5:$AB$300,0))),"")</f>
        <v/>
      </c>
      <c r="I224" s="53" t="str">
        <f>IFERROR(IF(SMALL(タスク!$AB$5:$AB$300,ROWS($A$7:A224))&gt;=1000000000000,"",INDEX(タスク!I$5:I$300,MATCH(SMALL(タスク!$AB$5:$AB$300,ROWS($A$7:A224)),タスク!$AB$5:$AB$300,0))),"")</f>
        <v/>
      </c>
      <c r="J224" s="53" t="str">
        <f>IFERROR(IF(SMALL(タスク!$AB$5:$AB$300,ROWS($A$7:A224))&gt;=1000000000000,"",INDEX(タスク!J$5:J$300,MATCH(SMALL(タスク!$AB$5:$AB$300,ROWS($A$7:A224)),タスク!$AB$5:$AB$300,0))),"")</f>
        <v/>
      </c>
    </row>
    <row r="225" spans="1:10">
      <c r="A225" s="53" t="str">
        <f>IFERROR(IF(SMALL(タスク!$AB$5:$AB$300,ROWS($A$7:A225))&gt;=1000000000000,"",INDEX(タスク!A$5:A$300,MATCH(SMALL(タスク!$AB$5:$AB$300,ROWS($A$7:A225)),タスク!$AB$5:$AB$300,0))),"")</f>
        <v/>
      </c>
      <c r="B225" s="53" t="str">
        <f>IFERROR(IF(SMALL(タスク!$AB$5:$AB$300,ROWS($A$7:A225))&gt;=1000000000000,"",INDEX(タスク!B$5:B$300,MATCH(SMALL(タスク!$AB$5:$AB$300,ROWS($A$7:A225)),タスク!$AB$5:$AB$300,0))),"")</f>
        <v/>
      </c>
      <c r="C225" s="53" t="str">
        <f>IFERROR(IF(SMALL(タスク!$AB$5:$AB$300,ROWS($A$7:A225))&gt;=1000000000000,"",INDEX(タスク!C$5:C$300,MATCH(SMALL(タスク!$AB$5:$AB$300,ROWS($A$7:A225)),タスク!$AB$5:$AB$300,0))),"")</f>
        <v/>
      </c>
      <c r="D225" s="53" t="str">
        <f>IFERROR(IF(SMALL(タスク!$AB$5:$AB$300,ROWS($A$7:A225))&gt;=1000000000000,"",INDEX(タスク!D$5:D$300,MATCH(SMALL(タスク!$AB$5:$AB$300,ROWS($A$7:A225)),タスク!$AB$5:$AB$300,0))),"")</f>
        <v/>
      </c>
      <c r="E225" s="53" t="str">
        <f>IFERROR(IF(SMALL(タスク!$AB$5:$AB$300,ROWS($A$7:A225))&gt;=1000000000000,"",INDEX(タスク!E$5:E$300,MATCH(SMALL(タスク!$AB$5:$AB$300,ROWS($A$7:A225)),タスク!$AB$5:$AB$300,0))),"")</f>
        <v/>
      </c>
      <c r="F225" s="53" t="str">
        <f>IFERROR(IF(SMALL(タスク!$AB$5:$AB$300,ROWS($A$7:A225))&gt;=1000000000000,"",INDEX(タスク!F$5:F$300,MATCH(SMALL(タスク!$AB$5:$AB$300,ROWS($A$7:A225)),タスク!$AB$5:$AB$300,0))),"")</f>
        <v/>
      </c>
      <c r="G225" s="53" t="str">
        <f>IFERROR(IF(SMALL(タスク!$AB$5:$AB$300,ROWS($A$7:A225))&gt;=1000000000000,"",INDEX(タスク!G$5:G$300,MATCH(SMALL(タスク!$AB$5:$AB$300,ROWS($A$7:A225)),タスク!$AB$5:$AB$300,0))),"")</f>
        <v/>
      </c>
      <c r="H225" s="53" t="str">
        <f>IFERROR(IF(SMALL(タスク!$AB$5:$AB$300,ROWS($A$7:A225))&gt;=1000000000000,"",INDEX(タスク!H$5:H$300,MATCH(SMALL(タスク!$AB$5:$AB$300,ROWS($A$7:A225)),タスク!$AB$5:$AB$300,0))),"")</f>
        <v/>
      </c>
      <c r="I225" s="53" t="str">
        <f>IFERROR(IF(SMALL(タスク!$AB$5:$AB$300,ROWS($A$7:A225))&gt;=1000000000000,"",INDEX(タスク!I$5:I$300,MATCH(SMALL(タスク!$AB$5:$AB$300,ROWS($A$7:A225)),タスク!$AB$5:$AB$300,0))),"")</f>
        <v/>
      </c>
      <c r="J225" s="53" t="str">
        <f>IFERROR(IF(SMALL(タスク!$AB$5:$AB$300,ROWS($A$7:A225))&gt;=1000000000000,"",INDEX(タスク!J$5:J$300,MATCH(SMALL(タスク!$AB$5:$AB$300,ROWS($A$7:A225)),タスク!$AB$5:$AB$300,0))),"")</f>
        <v/>
      </c>
    </row>
    <row r="226" spans="1:10">
      <c r="A226" s="53" t="str">
        <f>IFERROR(IF(SMALL(タスク!$AB$5:$AB$300,ROWS($A$7:A226))&gt;=1000000000000,"",INDEX(タスク!A$5:A$300,MATCH(SMALL(タスク!$AB$5:$AB$300,ROWS($A$7:A226)),タスク!$AB$5:$AB$300,0))),"")</f>
        <v/>
      </c>
      <c r="B226" s="53" t="str">
        <f>IFERROR(IF(SMALL(タスク!$AB$5:$AB$300,ROWS($A$7:A226))&gt;=1000000000000,"",INDEX(タスク!B$5:B$300,MATCH(SMALL(タスク!$AB$5:$AB$300,ROWS($A$7:A226)),タスク!$AB$5:$AB$300,0))),"")</f>
        <v/>
      </c>
      <c r="C226" s="53" t="str">
        <f>IFERROR(IF(SMALL(タスク!$AB$5:$AB$300,ROWS($A$7:A226))&gt;=1000000000000,"",INDEX(タスク!C$5:C$300,MATCH(SMALL(タスク!$AB$5:$AB$300,ROWS($A$7:A226)),タスク!$AB$5:$AB$300,0))),"")</f>
        <v/>
      </c>
      <c r="D226" s="53" t="str">
        <f>IFERROR(IF(SMALL(タスク!$AB$5:$AB$300,ROWS($A$7:A226))&gt;=1000000000000,"",INDEX(タスク!D$5:D$300,MATCH(SMALL(タスク!$AB$5:$AB$300,ROWS($A$7:A226)),タスク!$AB$5:$AB$300,0))),"")</f>
        <v/>
      </c>
      <c r="E226" s="53" t="str">
        <f>IFERROR(IF(SMALL(タスク!$AB$5:$AB$300,ROWS($A$7:A226))&gt;=1000000000000,"",INDEX(タスク!E$5:E$300,MATCH(SMALL(タスク!$AB$5:$AB$300,ROWS($A$7:A226)),タスク!$AB$5:$AB$300,0))),"")</f>
        <v/>
      </c>
      <c r="F226" s="53" t="str">
        <f>IFERROR(IF(SMALL(タスク!$AB$5:$AB$300,ROWS($A$7:A226))&gt;=1000000000000,"",INDEX(タスク!F$5:F$300,MATCH(SMALL(タスク!$AB$5:$AB$300,ROWS($A$7:A226)),タスク!$AB$5:$AB$300,0))),"")</f>
        <v/>
      </c>
      <c r="G226" s="53" t="str">
        <f>IFERROR(IF(SMALL(タスク!$AB$5:$AB$300,ROWS($A$7:A226))&gt;=1000000000000,"",INDEX(タスク!G$5:G$300,MATCH(SMALL(タスク!$AB$5:$AB$300,ROWS($A$7:A226)),タスク!$AB$5:$AB$300,0))),"")</f>
        <v/>
      </c>
      <c r="H226" s="53" t="str">
        <f>IFERROR(IF(SMALL(タスク!$AB$5:$AB$300,ROWS($A$7:A226))&gt;=1000000000000,"",INDEX(タスク!H$5:H$300,MATCH(SMALL(タスク!$AB$5:$AB$300,ROWS($A$7:A226)),タスク!$AB$5:$AB$300,0))),"")</f>
        <v/>
      </c>
      <c r="I226" s="53" t="str">
        <f>IFERROR(IF(SMALL(タスク!$AB$5:$AB$300,ROWS($A$7:A226))&gt;=1000000000000,"",INDEX(タスク!I$5:I$300,MATCH(SMALL(タスク!$AB$5:$AB$300,ROWS($A$7:A226)),タスク!$AB$5:$AB$300,0))),"")</f>
        <v/>
      </c>
      <c r="J226" s="53" t="str">
        <f>IFERROR(IF(SMALL(タスク!$AB$5:$AB$300,ROWS($A$7:A226))&gt;=1000000000000,"",INDEX(タスク!J$5:J$300,MATCH(SMALL(タスク!$AB$5:$AB$300,ROWS($A$7:A226)),タスク!$AB$5:$AB$300,0))),"")</f>
        <v/>
      </c>
    </row>
    <row r="227" spans="1:10">
      <c r="A227" s="53" t="str">
        <f>IFERROR(IF(SMALL(タスク!$AB$5:$AB$300,ROWS($A$7:A227))&gt;=1000000000000,"",INDEX(タスク!A$5:A$300,MATCH(SMALL(タスク!$AB$5:$AB$300,ROWS($A$7:A227)),タスク!$AB$5:$AB$300,0))),"")</f>
        <v/>
      </c>
      <c r="B227" s="53" t="str">
        <f>IFERROR(IF(SMALL(タスク!$AB$5:$AB$300,ROWS($A$7:A227))&gt;=1000000000000,"",INDEX(タスク!B$5:B$300,MATCH(SMALL(タスク!$AB$5:$AB$300,ROWS($A$7:A227)),タスク!$AB$5:$AB$300,0))),"")</f>
        <v/>
      </c>
      <c r="C227" s="53" t="str">
        <f>IFERROR(IF(SMALL(タスク!$AB$5:$AB$300,ROWS($A$7:A227))&gt;=1000000000000,"",INDEX(タスク!C$5:C$300,MATCH(SMALL(タスク!$AB$5:$AB$300,ROWS($A$7:A227)),タスク!$AB$5:$AB$300,0))),"")</f>
        <v/>
      </c>
      <c r="D227" s="53" t="str">
        <f>IFERROR(IF(SMALL(タスク!$AB$5:$AB$300,ROWS($A$7:A227))&gt;=1000000000000,"",INDEX(タスク!D$5:D$300,MATCH(SMALL(タスク!$AB$5:$AB$300,ROWS($A$7:A227)),タスク!$AB$5:$AB$300,0))),"")</f>
        <v/>
      </c>
      <c r="E227" s="53" t="str">
        <f>IFERROR(IF(SMALL(タスク!$AB$5:$AB$300,ROWS($A$7:A227))&gt;=1000000000000,"",INDEX(タスク!E$5:E$300,MATCH(SMALL(タスク!$AB$5:$AB$300,ROWS($A$7:A227)),タスク!$AB$5:$AB$300,0))),"")</f>
        <v/>
      </c>
      <c r="F227" s="53" t="str">
        <f>IFERROR(IF(SMALL(タスク!$AB$5:$AB$300,ROWS($A$7:A227))&gt;=1000000000000,"",INDEX(タスク!F$5:F$300,MATCH(SMALL(タスク!$AB$5:$AB$300,ROWS($A$7:A227)),タスク!$AB$5:$AB$300,0))),"")</f>
        <v/>
      </c>
      <c r="G227" s="53" t="str">
        <f>IFERROR(IF(SMALL(タスク!$AB$5:$AB$300,ROWS($A$7:A227))&gt;=1000000000000,"",INDEX(タスク!G$5:G$300,MATCH(SMALL(タスク!$AB$5:$AB$300,ROWS($A$7:A227)),タスク!$AB$5:$AB$300,0))),"")</f>
        <v/>
      </c>
      <c r="H227" s="53" t="str">
        <f>IFERROR(IF(SMALL(タスク!$AB$5:$AB$300,ROWS($A$7:A227))&gt;=1000000000000,"",INDEX(タスク!H$5:H$300,MATCH(SMALL(タスク!$AB$5:$AB$300,ROWS($A$7:A227)),タスク!$AB$5:$AB$300,0))),"")</f>
        <v/>
      </c>
      <c r="I227" s="53" t="str">
        <f>IFERROR(IF(SMALL(タスク!$AB$5:$AB$300,ROWS($A$7:A227))&gt;=1000000000000,"",INDEX(タスク!I$5:I$300,MATCH(SMALL(タスク!$AB$5:$AB$300,ROWS($A$7:A227)),タスク!$AB$5:$AB$300,0))),"")</f>
        <v/>
      </c>
      <c r="J227" s="53" t="str">
        <f>IFERROR(IF(SMALL(タスク!$AB$5:$AB$300,ROWS($A$7:A227))&gt;=1000000000000,"",INDEX(タスク!J$5:J$300,MATCH(SMALL(タスク!$AB$5:$AB$300,ROWS($A$7:A227)),タスク!$AB$5:$AB$300,0))),"")</f>
        <v/>
      </c>
    </row>
    <row r="228" spans="1:10">
      <c r="A228" s="53" t="str">
        <f>IFERROR(IF(SMALL(タスク!$AB$5:$AB$300,ROWS($A$7:A228))&gt;=1000000000000,"",INDEX(タスク!A$5:A$300,MATCH(SMALL(タスク!$AB$5:$AB$300,ROWS($A$7:A228)),タスク!$AB$5:$AB$300,0))),"")</f>
        <v/>
      </c>
      <c r="B228" s="53" t="str">
        <f>IFERROR(IF(SMALL(タスク!$AB$5:$AB$300,ROWS($A$7:A228))&gt;=1000000000000,"",INDEX(タスク!B$5:B$300,MATCH(SMALL(タスク!$AB$5:$AB$300,ROWS($A$7:A228)),タスク!$AB$5:$AB$300,0))),"")</f>
        <v/>
      </c>
      <c r="C228" s="53" t="str">
        <f>IFERROR(IF(SMALL(タスク!$AB$5:$AB$300,ROWS($A$7:A228))&gt;=1000000000000,"",INDEX(タスク!C$5:C$300,MATCH(SMALL(タスク!$AB$5:$AB$300,ROWS($A$7:A228)),タスク!$AB$5:$AB$300,0))),"")</f>
        <v/>
      </c>
      <c r="D228" s="53" t="str">
        <f>IFERROR(IF(SMALL(タスク!$AB$5:$AB$300,ROWS($A$7:A228))&gt;=1000000000000,"",INDEX(タスク!D$5:D$300,MATCH(SMALL(タスク!$AB$5:$AB$300,ROWS($A$7:A228)),タスク!$AB$5:$AB$300,0))),"")</f>
        <v/>
      </c>
      <c r="E228" s="53" t="str">
        <f>IFERROR(IF(SMALL(タスク!$AB$5:$AB$300,ROWS($A$7:A228))&gt;=1000000000000,"",INDEX(タスク!E$5:E$300,MATCH(SMALL(タスク!$AB$5:$AB$300,ROWS($A$7:A228)),タスク!$AB$5:$AB$300,0))),"")</f>
        <v/>
      </c>
      <c r="F228" s="53" t="str">
        <f>IFERROR(IF(SMALL(タスク!$AB$5:$AB$300,ROWS($A$7:A228))&gt;=1000000000000,"",INDEX(タスク!F$5:F$300,MATCH(SMALL(タスク!$AB$5:$AB$300,ROWS($A$7:A228)),タスク!$AB$5:$AB$300,0))),"")</f>
        <v/>
      </c>
      <c r="G228" s="53" t="str">
        <f>IFERROR(IF(SMALL(タスク!$AB$5:$AB$300,ROWS($A$7:A228))&gt;=1000000000000,"",INDEX(タスク!G$5:G$300,MATCH(SMALL(タスク!$AB$5:$AB$300,ROWS($A$7:A228)),タスク!$AB$5:$AB$300,0))),"")</f>
        <v/>
      </c>
      <c r="H228" s="53" t="str">
        <f>IFERROR(IF(SMALL(タスク!$AB$5:$AB$300,ROWS($A$7:A228))&gt;=1000000000000,"",INDEX(タスク!H$5:H$300,MATCH(SMALL(タスク!$AB$5:$AB$300,ROWS($A$7:A228)),タスク!$AB$5:$AB$300,0))),"")</f>
        <v/>
      </c>
      <c r="I228" s="53" t="str">
        <f>IFERROR(IF(SMALL(タスク!$AB$5:$AB$300,ROWS($A$7:A228))&gt;=1000000000000,"",INDEX(タスク!I$5:I$300,MATCH(SMALL(タスク!$AB$5:$AB$300,ROWS($A$7:A228)),タスク!$AB$5:$AB$300,0))),"")</f>
        <v/>
      </c>
      <c r="J228" s="53" t="str">
        <f>IFERROR(IF(SMALL(タスク!$AB$5:$AB$300,ROWS($A$7:A228))&gt;=1000000000000,"",INDEX(タスク!J$5:J$300,MATCH(SMALL(タスク!$AB$5:$AB$300,ROWS($A$7:A228)),タスク!$AB$5:$AB$300,0))),"")</f>
        <v/>
      </c>
    </row>
    <row r="229" spans="1:10">
      <c r="A229" s="53" t="str">
        <f>IFERROR(IF(SMALL(タスク!$AB$5:$AB$300,ROWS($A$7:A229))&gt;=1000000000000,"",INDEX(タスク!A$5:A$300,MATCH(SMALL(タスク!$AB$5:$AB$300,ROWS($A$7:A229)),タスク!$AB$5:$AB$300,0))),"")</f>
        <v/>
      </c>
      <c r="B229" s="53" t="str">
        <f>IFERROR(IF(SMALL(タスク!$AB$5:$AB$300,ROWS($A$7:A229))&gt;=1000000000000,"",INDEX(タスク!B$5:B$300,MATCH(SMALL(タスク!$AB$5:$AB$300,ROWS($A$7:A229)),タスク!$AB$5:$AB$300,0))),"")</f>
        <v/>
      </c>
      <c r="C229" s="53" t="str">
        <f>IFERROR(IF(SMALL(タスク!$AB$5:$AB$300,ROWS($A$7:A229))&gt;=1000000000000,"",INDEX(タスク!C$5:C$300,MATCH(SMALL(タスク!$AB$5:$AB$300,ROWS($A$7:A229)),タスク!$AB$5:$AB$300,0))),"")</f>
        <v/>
      </c>
      <c r="D229" s="53" t="str">
        <f>IFERROR(IF(SMALL(タスク!$AB$5:$AB$300,ROWS($A$7:A229))&gt;=1000000000000,"",INDEX(タスク!D$5:D$300,MATCH(SMALL(タスク!$AB$5:$AB$300,ROWS($A$7:A229)),タスク!$AB$5:$AB$300,0))),"")</f>
        <v/>
      </c>
      <c r="E229" s="53" t="str">
        <f>IFERROR(IF(SMALL(タスク!$AB$5:$AB$300,ROWS($A$7:A229))&gt;=1000000000000,"",INDEX(タスク!E$5:E$300,MATCH(SMALL(タスク!$AB$5:$AB$300,ROWS($A$7:A229)),タスク!$AB$5:$AB$300,0))),"")</f>
        <v/>
      </c>
      <c r="F229" s="53" t="str">
        <f>IFERROR(IF(SMALL(タスク!$AB$5:$AB$300,ROWS($A$7:A229))&gt;=1000000000000,"",INDEX(タスク!F$5:F$300,MATCH(SMALL(タスク!$AB$5:$AB$300,ROWS($A$7:A229)),タスク!$AB$5:$AB$300,0))),"")</f>
        <v/>
      </c>
      <c r="G229" s="53" t="str">
        <f>IFERROR(IF(SMALL(タスク!$AB$5:$AB$300,ROWS($A$7:A229))&gt;=1000000000000,"",INDEX(タスク!G$5:G$300,MATCH(SMALL(タスク!$AB$5:$AB$300,ROWS($A$7:A229)),タスク!$AB$5:$AB$300,0))),"")</f>
        <v/>
      </c>
      <c r="H229" s="53" t="str">
        <f>IFERROR(IF(SMALL(タスク!$AB$5:$AB$300,ROWS($A$7:A229))&gt;=1000000000000,"",INDEX(タスク!H$5:H$300,MATCH(SMALL(タスク!$AB$5:$AB$300,ROWS($A$7:A229)),タスク!$AB$5:$AB$300,0))),"")</f>
        <v/>
      </c>
      <c r="I229" s="53" t="str">
        <f>IFERROR(IF(SMALL(タスク!$AB$5:$AB$300,ROWS($A$7:A229))&gt;=1000000000000,"",INDEX(タスク!I$5:I$300,MATCH(SMALL(タスク!$AB$5:$AB$300,ROWS($A$7:A229)),タスク!$AB$5:$AB$300,0))),"")</f>
        <v/>
      </c>
      <c r="J229" s="53" t="str">
        <f>IFERROR(IF(SMALL(タスク!$AB$5:$AB$300,ROWS($A$7:A229))&gt;=1000000000000,"",INDEX(タスク!J$5:J$300,MATCH(SMALL(タスク!$AB$5:$AB$300,ROWS($A$7:A229)),タスク!$AB$5:$AB$300,0))),"")</f>
        <v/>
      </c>
    </row>
    <row r="230" spans="1:10">
      <c r="A230" s="53" t="str">
        <f>IFERROR(IF(SMALL(タスク!$AB$5:$AB$300,ROWS($A$7:A230))&gt;=1000000000000,"",INDEX(タスク!A$5:A$300,MATCH(SMALL(タスク!$AB$5:$AB$300,ROWS($A$7:A230)),タスク!$AB$5:$AB$300,0))),"")</f>
        <v/>
      </c>
      <c r="B230" s="53" t="str">
        <f>IFERROR(IF(SMALL(タスク!$AB$5:$AB$300,ROWS($A$7:A230))&gt;=1000000000000,"",INDEX(タスク!B$5:B$300,MATCH(SMALL(タスク!$AB$5:$AB$300,ROWS($A$7:A230)),タスク!$AB$5:$AB$300,0))),"")</f>
        <v/>
      </c>
      <c r="C230" s="53" t="str">
        <f>IFERROR(IF(SMALL(タスク!$AB$5:$AB$300,ROWS($A$7:A230))&gt;=1000000000000,"",INDEX(タスク!C$5:C$300,MATCH(SMALL(タスク!$AB$5:$AB$300,ROWS($A$7:A230)),タスク!$AB$5:$AB$300,0))),"")</f>
        <v/>
      </c>
      <c r="D230" s="53" t="str">
        <f>IFERROR(IF(SMALL(タスク!$AB$5:$AB$300,ROWS($A$7:A230))&gt;=1000000000000,"",INDEX(タスク!D$5:D$300,MATCH(SMALL(タスク!$AB$5:$AB$300,ROWS($A$7:A230)),タスク!$AB$5:$AB$300,0))),"")</f>
        <v/>
      </c>
      <c r="E230" s="53" t="str">
        <f>IFERROR(IF(SMALL(タスク!$AB$5:$AB$300,ROWS($A$7:A230))&gt;=1000000000000,"",INDEX(タスク!E$5:E$300,MATCH(SMALL(タスク!$AB$5:$AB$300,ROWS($A$7:A230)),タスク!$AB$5:$AB$300,0))),"")</f>
        <v/>
      </c>
      <c r="F230" s="53" t="str">
        <f>IFERROR(IF(SMALL(タスク!$AB$5:$AB$300,ROWS($A$7:A230))&gt;=1000000000000,"",INDEX(タスク!F$5:F$300,MATCH(SMALL(タスク!$AB$5:$AB$300,ROWS($A$7:A230)),タスク!$AB$5:$AB$300,0))),"")</f>
        <v/>
      </c>
      <c r="G230" s="53" t="str">
        <f>IFERROR(IF(SMALL(タスク!$AB$5:$AB$300,ROWS($A$7:A230))&gt;=1000000000000,"",INDEX(タスク!G$5:G$300,MATCH(SMALL(タスク!$AB$5:$AB$300,ROWS($A$7:A230)),タスク!$AB$5:$AB$300,0))),"")</f>
        <v/>
      </c>
      <c r="H230" s="53" t="str">
        <f>IFERROR(IF(SMALL(タスク!$AB$5:$AB$300,ROWS($A$7:A230))&gt;=1000000000000,"",INDEX(タスク!H$5:H$300,MATCH(SMALL(タスク!$AB$5:$AB$300,ROWS($A$7:A230)),タスク!$AB$5:$AB$300,0))),"")</f>
        <v/>
      </c>
      <c r="I230" s="53" t="str">
        <f>IFERROR(IF(SMALL(タスク!$AB$5:$AB$300,ROWS($A$7:A230))&gt;=1000000000000,"",INDEX(タスク!I$5:I$300,MATCH(SMALL(タスク!$AB$5:$AB$300,ROWS($A$7:A230)),タスク!$AB$5:$AB$300,0))),"")</f>
        <v/>
      </c>
      <c r="J230" s="53" t="str">
        <f>IFERROR(IF(SMALL(タスク!$AB$5:$AB$300,ROWS($A$7:A230))&gt;=1000000000000,"",INDEX(タスク!J$5:J$300,MATCH(SMALL(タスク!$AB$5:$AB$300,ROWS($A$7:A230)),タスク!$AB$5:$AB$300,0))),"")</f>
        <v/>
      </c>
    </row>
    <row r="231" spans="1:10">
      <c r="A231" s="53" t="str">
        <f>IFERROR(IF(SMALL(タスク!$AB$5:$AB$300,ROWS($A$7:A231))&gt;=1000000000000,"",INDEX(タスク!A$5:A$300,MATCH(SMALL(タスク!$AB$5:$AB$300,ROWS($A$7:A231)),タスク!$AB$5:$AB$300,0))),"")</f>
        <v/>
      </c>
      <c r="B231" s="53" t="str">
        <f>IFERROR(IF(SMALL(タスク!$AB$5:$AB$300,ROWS($A$7:A231))&gt;=1000000000000,"",INDEX(タスク!B$5:B$300,MATCH(SMALL(タスク!$AB$5:$AB$300,ROWS($A$7:A231)),タスク!$AB$5:$AB$300,0))),"")</f>
        <v/>
      </c>
      <c r="C231" s="53" t="str">
        <f>IFERROR(IF(SMALL(タスク!$AB$5:$AB$300,ROWS($A$7:A231))&gt;=1000000000000,"",INDEX(タスク!C$5:C$300,MATCH(SMALL(タスク!$AB$5:$AB$300,ROWS($A$7:A231)),タスク!$AB$5:$AB$300,0))),"")</f>
        <v/>
      </c>
      <c r="D231" s="53" t="str">
        <f>IFERROR(IF(SMALL(タスク!$AB$5:$AB$300,ROWS($A$7:A231))&gt;=1000000000000,"",INDEX(タスク!D$5:D$300,MATCH(SMALL(タスク!$AB$5:$AB$300,ROWS($A$7:A231)),タスク!$AB$5:$AB$300,0))),"")</f>
        <v/>
      </c>
      <c r="E231" s="53" t="str">
        <f>IFERROR(IF(SMALL(タスク!$AB$5:$AB$300,ROWS($A$7:A231))&gt;=1000000000000,"",INDEX(タスク!E$5:E$300,MATCH(SMALL(タスク!$AB$5:$AB$300,ROWS($A$7:A231)),タスク!$AB$5:$AB$300,0))),"")</f>
        <v/>
      </c>
      <c r="F231" s="53" t="str">
        <f>IFERROR(IF(SMALL(タスク!$AB$5:$AB$300,ROWS($A$7:A231))&gt;=1000000000000,"",INDEX(タスク!F$5:F$300,MATCH(SMALL(タスク!$AB$5:$AB$300,ROWS($A$7:A231)),タスク!$AB$5:$AB$300,0))),"")</f>
        <v/>
      </c>
      <c r="G231" s="53" t="str">
        <f>IFERROR(IF(SMALL(タスク!$AB$5:$AB$300,ROWS($A$7:A231))&gt;=1000000000000,"",INDEX(タスク!G$5:G$300,MATCH(SMALL(タスク!$AB$5:$AB$300,ROWS($A$7:A231)),タスク!$AB$5:$AB$300,0))),"")</f>
        <v/>
      </c>
      <c r="H231" s="53" t="str">
        <f>IFERROR(IF(SMALL(タスク!$AB$5:$AB$300,ROWS($A$7:A231))&gt;=1000000000000,"",INDEX(タスク!H$5:H$300,MATCH(SMALL(タスク!$AB$5:$AB$300,ROWS($A$7:A231)),タスク!$AB$5:$AB$300,0))),"")</f>
        <v/>
      </c>
      <c r="I231" s="53" t="str">
        <f>IFERROR(IF(SMALL(タスク!$AB$5:$AB$300,ROWS($A$7:A231))&gt;=1000000000000,"",INDEX(タスク!I$5:I$300,MATCH(SMALL(タスク!$AB$5:$AB$300,ROWS($A$7:A231)),タスク!$AB$5:$AB$300,0))),"")</f>
        <v/>
      </c>
      <c r="J231" s="53" t="str">
        <f>IFERROR(IF(SMALL(タスク!$AB$5:$AB$300,ROWS($A$7:A231))&gt;=1000000000000,"",INDEX(タスク!J$5:J$300,MATCH(SMALL(タスク!$AB$5:$AB$300,ROWS($A$7:A231)),タスク!$AB$5:$AB$300,0))),"")</f>
        <v/>
      </c>
    </row>
    <row r="232" spans="1:10">
      <c r="A232" s="53" t="str">
        <f>IFERROR(IF(SMALL(タスク!$AB$5:$AB$300,ROWS($A$7:A232))&gt;=1000000000000,"",INDEX(タスク!A$5:A$300,MATCH(SMALL(タスク!$AB$5:$AB$300,ROWS($A$7:A232)),タスク!$AB$5:$AB$300,0))),"")</f>
        <v/>
      </c>
      <c r="B232" s="53" t="str">
        <f>IFERROR(IF(SMALL(タスク!$AB$5:$AB$300,ROWS($A$7:A232))&gt;=1000000000000,"",INDEX(タスク!B$5:B$300,MATCH(SMALL(タスク!$AB$5:$AB$300,ROWS($A$7:A232)),タスク!$AB$5:$AB$300,0))),"")</f>
        <v/>
      </c>
      <c r="C232" s="53" t="str">
        <f>IFERROR(IF(SMALL(タスク!$AB$5:$AB$300,ROWS($A$7:A232))&gt;=1000000000000,"",INDEX(タスク!C$5:C$300,MATCH(SMALL(タスク!$AB$5:$AB$300,ROWS($A$7:A232)),タスク!$AB$5:$AB$300,0))),"")</f>
        <v/>
      </c>
      <c r="D232" s="53" t="str">
        <f>IFERROR(IF(SMALL(タスク!$AB$5:$AB$300,ROWS($A$7:A232))&gt;=1000000000000,"",INDEX(タスク!D$5:D$300,MATCH(SMALL(タスク!$AB$5:$AB$300,ROWS($A$7:A232)),タスク!$AB$5:$AB$300,0))),"")</f>
        <v/>
      </c>
      <c r="E232" s="53" t="str">
        <f>IFERROR(IF(SMALL(タスク!$AB$5:$AB$300,ROWS($A$7:A232))&gt;=1000000000000,"",INDEX(タスク!E$5:E$300,MATCH(SMALL(タスク!$AB$5:$AB$300,ROWS($A$7:A232)),タスク!$AB$5:$AB$300,0))),"")</f>
        <v/>
      </c>
      <c r="F232" s="53" t="str">
        <f>IFERROR(IF(SMALL(タスク!$AB$5:$AB$300,ROWS($A$7:A232))&gt;=1000000000000,"",INDEX(タスク!F$5:F$300,MATCH(SMALL(タスク!$AB$5:$AB$300,ROWS($A$7:A232)),タスク!$AB$5:$AB$300,0))),"")</f>
        <v/>
      </c>
      <c r="G232" s="53" t="str">
        <f>IFERROR(IF(SMALL(タスク!$AB$5:$AB$300,ROWS($A$7:A232))&gt;=1000000000000,"",INDEX(タスク!G$5:G$300,MATCH(SMALL(タスク!$AB$5:$AB$300,ROWS($A$7:A232)),タスク!$AB$5:$AB$300,0))),"")</f>
        <v/>
      </c>
      <c r="H232" s="53" t="str">
        <f>IFERROR(IF(SMALL(タスク!$AB$5:$AB$300,ROWS($A$7:A232))&gt;=1000000000000,"",INDEX(タスク!H$5:H$300,MATCH(SMALL(タスク!$AB$5:$AB$300,ROWS($A$7:A232)),タスク!$AB$5:$AB$300,0))),"")</f>
        <v/>
      </c>
      <c r="I232" s="53" t="str">
        <f>IFERROR(IF(SMALL(タスク!$AB$5:$AB$300,ROWS($A$7:A232))&gt;=1000000000000,"",INDEX(タスク!I$5:I$300,MATCH(SMALL(タスク!$AB$5:$AB$300,ROWS($A$7:A232)),タスク!$AB$5:$AB$300,0))),"")</f>
        <v/>
      </c>
      <c r="J232" s="53" t="str">
        <f>IFERROR(IF(SMALL(タスク!$AB$5:$AB$300,ROWS($A$7:A232))&gt;=1000000000000,"",INDEX(タスク!J$5:J$300,MATCH(SMALL(タスク!$AB$5:$AB$300,ROWS($A$7:A232)),タスク!$AB$5:$AB$300,0))),"")</f>
        <v/>
      </c>
    </row>
    <row r="233" spans="1:10">
      <c r="A233" s="53" t="str">
        <f>IFERROR(IF(SMALL(タスク!$AB$5:$AB$300,ROWS($A$7:A233))&gt;=1000000000000,"",INDEX(タスク!A$5:A$300,MATCH(SMALL(タスク!$AB$5:$AB$300,ROWS($A$7:A233)),タスク!$AB$5:$AB$300,0))),"")</f>
        <v/>
      </c>
      <c r="B233" s="53" t="str">
        <f>IFERROR(IF(SMALL(タスク!$AB$5:$AB$300,ROWS($A$7:A233))&gt;=1000000000000,"",INDEX(タスク!B$5:B$300,MATCH(SMALL(タスク!$AB$5:$AB$300,ROWS($A$7:A233)),タスク!$AB$5:$AB$300,0))),"")</f>
        <v/>
      </c>
      <c r="C233" s="53" t="str">
        <f>IFERROR(IF(SMALL(タスク!$AB$5:$AB$300,ROWS($A$7:A233))&gt;=1000000000000,"",INDEX(タスク!C$5:C$300,MATCH(SMALL(タスク!$AB$5:$AB$300,ROWS($A$7:A233)),タスク!$AB$5:$AB$300,0))),"")</f>
        <v/>
      </c>
      <c r="D233" s="53" t="str">
        <f>IFERROR(IF(SMALL(タスク!$AB$5:$AB$300,ROWS($A$7:A233))&gt;=1000000000000,"",INDEX(タスク!D$5:D$300,MATCH(SMALL(タスク!$AB$5:$AB$300,ROWS($A$7:A233)),タスク!$AB$5:$AB$300,0))),"")</f>
        <v/>
      </c>
      <c r="E233" s="53" t="str">
        <f>IFERROR(IF(SMALL(タスク!$AB$5:$AB$300,ROWS($A$7:A233))&gt;=1000000000000,"",INDEX(タスク!E$5:E$300,MATCH(SMALL(タスク!$AB$5:$AB$300,ROWS($A$7:A233)),タスク!$AB$5:$AB$300,0))),"")</f>
        <v/>
      </c>
      <c r="F233" s="53" t="str">
        <f>IFERROR(IF(SMALL(タスク!$AB$5:$AB$300,ROWS($A$7:A233))&gt;=1000000000000,"",INDEX(タスク!F$5:F$300,MATCH(SMALL(タスク!$AB$5:$AB$300,ROWS($A$7:A233)),タスク!$AB$5:$AB$300,0))),"")</f>
        <v/>
      </c>
      <c r="G233" s="53" t="str">
        <f>IFERROR(IF(SMALL(タスク!$AB$5:$AB$300,ROWS($A$7:A233))&gt;=1000000000000,"",INDEX(タスク!G$5:G$300,MATCH(SMALL(タスク!$AB$5:$AB$300,ROWS($A$7:A233)),タスク!$AB$5:$AB$300,0))),"")</f>
        <v/>
      </c>
      <c r="H233" s="53" t="str">
        <f>IFERROR(IF(SMALL(タスク!$AB$5:$AB$300,ROWS($A$7:A233))&gt;=1000000000000,"",INDEX(タスク!H$5:H$300,MATCH(SMALL(タスク!$AB$5:$AB$300,ROWS($A$7:A233)),タスク!$AB$5:$AB$300,0))),"")</f>
        <v/>
      </c>
      <c r="I233" s="53" t="str">
        <f>IFERROR(IF(SMALL(タスク!$AB$5:$AB$300,ROWS($A$7:A233))&gt;=1000000000000,"",INDEX(タスク!I$5:I$300,MATCH(SMALL(タスク!$AB$5:$AB$300,ROWS($A$7:A233)),タスク!$AB$5:$AB$300,0))),"")</f>
        <v/>
      </c>
      <c r="J233" s="53" t="str">
        <f>IFERROR(IF(SMALL(タスク!$AB$5:$AB$300,ROWS($A$7:A233))&gt;=1000000000000,"",INDEX(タスク!J$5:J$300,MATCH(SMALL(タスク!$AB$5:$AB$300,ROWS($A$7:A233)),タスク!$AB$5:$AB$300,0))),"")</f>
        <v/>
      </c>
    </row>
    <row r="234" spans="1:10">
      <c r="A234" s="53" t="str">
        <f>IFERROR(IF(SMALL(タスク!$AB$5:$AB$300,ROWS($A$7:A234))&gt;=1000000000000,"",INDEX(タスク!A$5:A$300,MATCH(SMALL(タスク!$AB$5:$AB$300,ROWS($A$7:A234)),タスク!$AB$5:$AB$300,0))),"")</f>
        <v/>
      </c>
      <c r="B234" s="53" t="str">
        <f>IFERROR(IF(SMALL(タスク!$AB$5:$AB$300,ROWS($A$7:A234))&gt;=1000000000000,"",INDEX(タスク!B$5:B$300,MATCH(SMALL(タスク!$AB$5:$AB$300,ROWS($A$7:A234)),タスク!$AB$5:$AB$300,0))),"")</f>
        <v/>
      </c>
      <c r="C234" s="53" t="str">
        <f>IFERROR(IF(SMALL(タスク!$AB$5:$AB$300,ROWS($A$7:A234))&gt;=1000000000000,"",INDEX(タスク!C$5:C$300,MATCH(SMALL(タスク!$AB$5:$AB$300,ROWS($A$7:A234)),タスク!$AB$5:$AB$300,0))),"")</f>
        <v/>
      </c>
      <c r="D234" s="53" t="str">
        <f>IFERROR(IF(SMALL(タスク!$AB$5:$AB$300,ROWS($A$7:A234))&gt;=1000000000000,"",INDEX(タスク!D$5:D$300,MATCH(SMALL(タスク!$AB$5:$AB$300,ROWS($A$7:A234)),タスク!$AB$5:$AB$300,0))),"")</f>
        <v/>
      </c>
      <c r="E234" s="53" t="str">
        <f>IFERROR(IF(SMALL(タスク!$AB$5:$AB$300,ROWS($A$7:A234))&gt;=1000000000000,"",INDEX(タスク!E$5:E$300,MATCH(SMALL(タスク!$AB$5:$AB$300,ROWS($A$7:A234)),タスク!$AB$5:$AB$300,0))),"")</f>
        <v/>
      </c>
      <c r="F234" s="53" t="str">
        <f>IFERROR(IF(SMALL(タスク!$AB$5:$AB$300,ROWS($A$7:A234))&gt;=1000000000000,"",INDEX(タスク!F$5:F$300,MATCH(SMALL(タスク!$AB$5:$AB$300,ROWS($A$7:A234)),タスク!$AB$5:$AB$300,0))),"")</f>
        <v/>
      </c>
      <c r="G234" s="53" t="str">
        <f>IFERROR(IF(SMALL(タスク!$AB$5:$AB$300,ROWS($A$7:A234))&gt;=1000000000000,"",INDEX(タスク!G$5:G$300,MATCH(SMALL(タスク!$AB$5:$AB$300,ROWS($A$7:A234)),タスク!$AB$5:$AB$300,0))),"")</f>
        <v/>
      </c>
      <c r="H234" s="53" t="str">
        <f>IFERROR(IF(SMALL(タスク!$AB$5:$AB$300,ROWS($A$7:A234))&gt;=1000000000000,"",INDEX(タスク!H$5:H$300,MATCH(SMALL(タスク!$AB$5:$AB$300,ROWS($A$7:A234)),タスク!$AB$5:$AB$300,0))),"")</f>
        <v/>
      </c>
      <c r="I234" s="53" t="str">
        <f>IFERROR(IF(SMALL(タスク!$AB$5:$AB$300,ROWS($A$7:A234))&gt;=1000000000000,"",INDEX(タスク!I$5:I$300,MATCH(SMALL(タスク!$AB$5:$AB$300,ROWS($A$7:A234)),タスク!$AB$5:$AB$300,0))),"")</f>
        <v/>
      </c>
      <c r="J234" s="53" t="str">
        <f>IFERROR(IF(SMALL(タスク!$AB$5:$AB$300,ROWS($A$7:A234))&gt;=1000000000000,"",INDEX(タスク!J$5:J$300,MATCH(SMALL(タスク!$AB$5:$AB$300,ROWS($A$7:A234)),タスク!$AB$5:$AB$300,0))),"")</f>
        <v/>
      </c>
    </row>
    <row r="235" spans="1:10">
      <c r="A235" s="53" t="str">
        <f>IFERROR(IF(SMALL(タスク!$AB$5:$AB$300,ROWS($A$7:A235))&gt;=1000000000000,"",INDEX(タスク!A$5:A$300,MATCH(SMALL(タスク!$AB$5:$AB$300,ROWS($A$7:A235)),タスク!$AB$5:$AB$300,0))),"")</f>
        <v/>
      </c>
      <c r="B235" s="53" t="str">
        <f>IFERROR(IF(SMALL(タスク!$AB$5:$AB$300,ROWS($A$7:A235))&gt;=1000000000000,"",INDEX(タスク!B$5:B$300,MATCH(SMALL(タスク!$AB$5:$AB$300,ROWS($A$7:A235)),タスク!$AB$5:$AB$300,0))),"")</f>
        <v/>
      </c>
      <c r="C235" s="53" t="str">
        <f>IFERROR(IF(SMALL(タスク!$AB$5:$AB$300,ROWS($A$7:A235))&gt;=1000000000000,"",INDEX(タスク!C$5:C$300,MATCH(SMALL(タスク!$AB$5:$AB$300,ROWS($A$7:A235)),タスク!$AB$5:$AB$300,0))),"")</f>
        <v/>
      </c>
      <c r="D235" s="53" t="str">
        <f>IFERROR(IF(SMALL(タスク!$AB$5:$AB$300,ROWS($A$7:A235))&gt;=1000000000000,"",INDEX(タスク!D$5:D$300,MATCH(SMALL(タスク!$AB$5:$AB$300,ROWS($A$7:A235)),タスク!$AB$5:$AB$300,0))),"")</f>
        <v/>
      </c>
      <c r="E235" s="53" t="str">
        <f>IFERROR(IF(SMALL(タスク!$AB$5:$AB$300,ROWS($A$7:A235))&gt;=1000000000000,"",INDEX(タスク!E$5:E$300,MATCH(SMALL(タスク!$AB$5:$AB$300,ROWS($A$7:A235)),タスク!$AB$5:$AB$300,0))),"")</f>
        <v/>
      </c>
      <c r="F235" s="53" t="str">
        <f>IFERROR(IF(SMALL(タスク!$AB$5:$AB$300,ROWS($A$7:A235))&gt;=1000000000000,"",INDEX(タスク!F$5:F$300,MATCH(SMALL(タスク!$AB$5:$AB$300,ROWS($A$7:A235)),タスク!$AB$5:$AB$300,0))),"")</f>
        <v/>
      </c>
      <c r="G235" s="53" t="str">
        <f>IFERROR(IF(SMALL(タスク!$AB$5:$AB$300,ROWS($A$7:A235))&gt;=1000000000000,"",INDEX(タスク!G$5:G$300,MATCH(SMALL(タスク!$AB$5:$AB$300,ROWS($A$7:A235)),タスク!$AB$5:$AB$300,0))),"")</f>
        <v/>
      </c>
      <c r="H235" s="53" t="str">
        <f>IFERROR(IF(SMALL(タスク!$AB$5:$AB$300,ROWS($A$7:A235))&gt;=1000000000000,"",INDEX(タスク!H$5:H$300,MATCH(SMALL(タスク!$AB$5:$AB$300,ROWS($A$7:A235)),タスク!$AB$5:$AB$300,0))),"")</f>
        <v/>
      </c>
      <c r="I235" s="53" t="str">
        <f>IFERROR(IF(SMALL(タスク!$AB$5:$AB$300,ROWS($A$7:A235))&gt;=1000000000000,"",INDEX(タスク!I$5:I$300,MATCH(SMALL(タスク!$AB$5:$AB$300,ROWS($A$7:A235)),タスク!$AB$5:$AB$300,0))),"")</f>
        <v/>
      </c>
      <c r="J235" s="53" t="str">
        <f>IFERROR(IF(SMALL(タスク!$AB$5:$AB$300,ROWS($A$7:A235))&gt;=1000000000000,"",INDEX(タスク!J$5:J$300,MATCH(SMALL(タスク!$AB$5:$AB$300,ROWS($A$7:A235)),タスク!$AB$5:$AB$300,0))),"")</f>
        <v/>
      </c>
    </row>
    <row r="236" spans="1:10">
      <c r="A236" s="53" t="str">
        <f>IFERROR(IF(SMALL(タスク!$AB$5:$AB$300,ROWS($A$7:A236))&gt;=1000000000000,"",INDEX(タスク!A$5:A$300,MATCH(SMALL(タスク!$AB$5:$AB$300,ROWS($A$7:A236)),タスク!$AB$5:$AB$300,0))),"")</f>
        <v/>
      </c>
      <c r="B236" s="53" t="str">
        <f>IFERROR(IF(SMALL(タスク!$AB$5:$AB$300,ROWS($A$7:A236))&gt;=1000000000000,"",INDEX(タスク!B$5:B$300,MATCH(SMALL(タスク!$AB$5:$AB$300,ROWS($A$7:A236)),タスク!$AB$5:$AB$300,0))),"")</f>
        <v/>
      </c>
      <c r="C236" s="53" t="str">
        <f>IFERROR(IF(SMALL(タスク!$AB$5:$AB$300,ROWS($A$7:A236))&gt;=1000000000000,"",INDEX(タスク!C$5:C$300,MATCH(SMALL(タスク!$AB$5:$AB$300,ROWS($A$7:A236)),タスク!$AB$5:$AB$300,0))),"")</f>
        <v/>
      </c>
      <c r="D236" s="53" t="str">
        <f>IFERROR(IF(SMALL(タスク!$AB$5:$AB$300,ROWS($A$7:A236))&gt;=1000000000000,"",INDEX(タスク!D$5:D$300,MATCH(SMALL(タスク!$AB$5:$AB$300,ROWS($A$7:A236)),タスク!$AB$5:$AB$300,0))),"")</f>
        <v/>
      </c>
      <c r="E236" s="53" t="str">
        <f>IFERROR(IF(SMALL(タスク!$AB$5:$AB$300,ROWS($A$7:A236))&gt;=1000000000000,"",INDEX(タスク!E$5:E$300,MATCH(SMALL(タスク!$AB$5:$AB$300,ROWS($A$7:A236)),タスク!$AB$5:$AB$300,0))),"")</f>
        <v/>
      </c>
      <c r="F236" s="53" t="str">
        <f>IFERROR(IF(SMALL(タスク!$AB$5:$AB$300,ROWS($A$7:A236))&gt;=1000000000000,"",INDEX(タスク!F$5:F$300,MATCH(SMALL(タスク!$AB$5:$AB$300,ROWS($A$7:A236)),タスク!$AB$5:$AB$300,0))),"")</f>
        <v/>
      </c>
      <c r="G236" s="53" t="str">
        <f>IFERROR(IF(SMALL(タスク!$AB$5:$AB$300,ROWS($A$7:A236))&gt;=1000000000000,"",INDEX(タスク!G$5:G$300,MATCH(SMALL(タスク!$AB$5:$AB$300,ROWS($A$7:A236)),タスク!$AB$5:$AB$300,0))),"")</f>
        <v/>
      </c>
      <c r="H236" s="53" t="str">
        <f>IFERROR(IF(SMALL(タスク!$AB$5:$AB$300,ROWS($A$7:A236))&gt;=1000000000000,"",INDEX(タスク!H$5:H$300,MATCH(SMALL(タスク!$AB$5:$AB$300,ROWS($A$7:A236)),タスク!$AB$5:$AB$300,0))),"")</f>
        <v/>
      </c>
      <c r="I236" s="53" t="str">
        <f>IFERROR(IF(SMALL(タスク!$AB$5:$AB$300,ROWS($A$7:A236))&gt;=1000000000000,"",INDEX(タスク!I$5:I$300,MATCH(SMALL(タスク!$AB$5:$AB$300,ROWS($A$7:A236)),タスク!$AB$5:$AB$300,0))),"")</f>
        <v/>
      </c>
      <c r="J236" s="53" t="str">
        <f>IFERROR(IF(SMALL(タスク!$AB$5:$AB$300,ROWS($A$7:A236))&gt;=1000000000000,"",INDEX(タスク!J$5:J$300,MATCH(SMALL(タスク!$AB$5:$AB$300,ROWS($A$7:A236)),タスク!$AB$5:$AB$300,0))),"")</f>
        <v/>
      </c>
    </row>
    <row r="237" spans="1:10">
      <c r="A237" s="53" t="str">
        <f>IFERROR(IF(SMALL(タスク!$AB$5:$AB$300,ROWS($A$7:A237))&gt;=1000000000000,"",INDEX(タスク!A$5:A$300,MATCH(SMALL(タスク!$AB$5:$AB$300,ROWS($A$7:A237)),タスク!$AB$5:$AB$300,0))),"")</f>
        <v/>
      </c>
      <c r="B237" s="53" t="str">
        <f>IFERROR(IF(SMALL(タスク!$AB$5:$AB$300,ROWS($A$7:A237))&gt;=1000000000000,"",INDEX(タスク!B$5:B$300,MATCH(SMALL(タスク!$AB$5:$AB$300,ROWS($A$7:A237)),タスク!$AB$5:$AB$300,0))),"")</f>
        <v/>
      </c>
      <c r="C237" s="53" t="str">
        <f>IFERROR(IF(SMALL(タスク!$AB$5:$AB$300,ROWS($A$7:A237))&gt;=1000000000000,"",INDEX(タスク!C$5:C$300,MATCH(SMALL(タスク!$AB$5:$AB$300,ROWS($A$7:A237)),タスク!$AB$5:$AB$300,0))),"")</f>
        <v/>
      </c>
      <c r="D237" s="53" t="str">
        <f>IFERROR(IF(SMALL(タスク!$AB$5:$AB$300,ROWS($A$7:A237))&gt;=1000000000000,"",INDEX(タスク!D$5:D$300,MATCH(SMALL(タスク!$AB$5:$AB$300,ROWS($A$7:A237)),タスク!$AB$5:$AB$300,0))),"")</f>
        <v/>
      </c>
      <c r="E237" s="53" t="str">
        <f>IFERROR(IF(SMALL(タスク!$AB$5:$AB$300,ROWS($A$7:A237))&gt;=1000000000000,"",INDEX(タスク!E$5:E$300,MATCH(SMALL(タスク!$AB$5:$AB$300,ROWS($A$7:A237)),タスク!$AB$5:$AB$300,0))),"")</f>
        <v/>
      </c>
      <c r="F237" s="53" t="str">
        <f>IFERROR(IF(SMALL(タスク!$AB$5:$AB$300,ROWS($A$7:A237))&gt;=1000000000000,"",INDEX(タスク!F$5:F$300,MATCH(SMALL(タスク!$AB$5:$AB$300,ROWS($A$7:A237)),タスク!$AB$5:$AB$300,0))),"")</f>
        <v/>
      </c>
      <c r="G237" s="53" t="str">
        <f>IFERROR(IF(SMALL(タスク!$AB$5:$AB$300,ROWS($A$7:A237))&gt;=1000000000000,"",INDEX(タスク!G$5:G$300,MATCH(SMALL(タスク!$AB$5:$AB$300,ROWS($A$7:A237)),タスク!$AB$5:$AB$300,0))),"")</f>
        <v/>
      </c>
      <c r="H237" s="53" t="str">
        <f>IFERROR(IF(SMALL(タスク!$AB$5:$AB$300,ROWS($A$7:A237))&gt;=1000000000000,"",INDEX(タスク!H$5:H$300,MATCH(SMALL(タスク!$AB$5:$AB$300,ROWS($A$7:A237)),タスク!$AB$5:$AB$300,0))),"")</f>
        <v/>
      </c>
      <c r="I237" s="53" t="str">
        <f>IFERROR(IF(SMALL(タスク!$AB$5:$AB$300,ROWS($A$7:A237))&gt;=1000000000000,"",INDEX(タスク!I$5:I$300,MATCH(SMALL(タスク!$AB$5:$AB$300,ROWS($A$7:A237)),タスク!$AB$5:$AB$300,0))),"")</f>
        <v/>
      </c>
      <c r="J237" s="53" t="str">
        <f>IFERROR(IF(SMALL(タスク!$AB$5:$AB$300,ROWS($A$7:A237))&gt;=1000000000000,"",INDEX(タスク!J$5:J$300,MATCH(SMALL(タスク!$AB$5:$AB$300,ROWS($A$7:A237)),タスク!$AB$5:$AB$300,0))),"")</f>
        <v/>
      </c>
    </row>
    <row r="238" spans="1:10">
      <c r="A238" s="53" t="str">
        <f>IFERROR(IF(SMALL(タスク!$AB$5:$AB$300,ROWS($A$7:A238))&gt;=1000000000000,"",INDEX(タスク!A$5:A$300,MATCH(SMALL(タスク!$AB$5:$AB$300,ROWS($A$7:A238)),タスク!$AB$5:$AB$300,0))),"")</f>
        <v/>
      </c>
      <c r="B238" s="53" t="str">
        <f>IFERROR(IF(SMALL(タスク!$AB$5:$AB$300,ROWS($A$7:A238))&gt;=1000000000000,"",INDEX(タスク!B$5:B$300,MATCH(SMALL(タスク!$AB$5:$AB$300,ROWS($A$7:A238)),タスク!$AB$5:$AB$300,0))),"")</f>
        <v/>
      </c>
      <c r="C238" s="53" t="str">
        <f>IFERROR(IF(SMALL(タスク!$AB$5:$AB$300,ROWS($A$7:A238))&gt;=1000000000000,"",INDEX(タスク!C$5:C$300,MATCH(SMALL(タスク!$AB$5:$AB$300,ROWS($A$7:A238)),タスク!$AB$5:$AB$300,0))),"")</f>
        <v/>
      </c>
      <c r="D238" s="53" t="str">
        <f>IFERROR(IF(SMALL(タスク!$AB$5:$AB$300,ROWS($A$7:A238))&gt;=1000000000000,"",INDEX(タスク!D$5:D$300,MATCH(SMALL(タスク!$AB$5:$AB$300,ROWS($A$7:A238)),タスク!$AB$5:$AB$300,0))),"")</f>
        <v/>
      </c>
      <c r="E238" s="53" t="str">
        <f>IFERROR(IF(SMALL(タスク!$AB$5:$AB$300,ROWS($A$7:A238))&gt;=1000000000000,"",INDEX(タスク!E$5:E$300,MATCH(SMALL(タスク!$AB$5:$AB$300,ROWS($A$7:A238)),タスク!$AB$5:$AB$300,0))),"")</f>
        <v/>
      </c>
      <c r="F238" s="53" t="str">
        <f>IFERROR(IF(SMALL(タスク!$AB$5:$AB$300,ROWS($A$7:A238))&gt;=1000000000000,"",INDEX(タスク!F$5:F$300,MATCH(SMALL(タスク!$AB$5:$AB$300,ROWS($A$7:A238)),タスク!$AB$5:$AB$300,0))),"")</f>
        <v/>
      </c>
      <c r="G238" s="53" t="str">
        <f>IFERROR(IF(SMALL(タスク!$AB$5:$AB$300,ROWS($A$7:A238))&gt;=1000000000000,"",INDEX(タスク!G$5:G$300,MATCH(SMALL(タスク!$AB$5:$AB$300,ROWS($A$7:A238)),タスク!$AB$5:$AB$300,0))),"")</f>
        <v/>
      </c>
      <c r="H238" s="53" t="str">
        <f>IFERROR(IF(SMALL(タスク!$AB$5:$AB$300,ROWS($A$7:A238))&gt;=1000000000000,"",INDEX(タスク!H$5:H$300,MATCH(SMALL(タスク!$AB$5:$AB$300,ROWS($A$7:A238)),タスク!$AB$5:$AB$300,0))),"")</f>
        <v/>
      </c>
      <c r="I238" s="53" t="str">
        <f>IFERROR(IF(SMALL(タスク!$AB$5:$AB$300,ROWS($A$7:A238))&gt;=1000000000000,"",INDEX(タスク!I$5:I$300,MATCH(SMALL(タスク!$AB$5:$AB$300,ROWS($A$7:A238)),タスク!$AB$5:$AB$300,0))),"")</f>
        <v/>
      </c>
      <c r="J238" s="53" t="str">
        <f>IFERROR(IF(SMALL(タスク!$AB$5:$AB$300,ROWS($A$7:A238))&gt;=1000000000000,"",INDEX(タスク!J$5:J$300,MATCH(SMALL(タスク!$AB$5:$AB$300,ROWS($A$7:A238)),タスク!$AB$5:$AB$300,0))),"")</f>
        <v/>
      </c>
    </row>
    <row r="239" spans="1:10">
      <c r="A239" s="53" t="str">
        <f>IFERROR(IF(SMALL(タスク!$AB$5:$AB$300,ROWS($A$7:A239))&gt;=1000000000000,"",INDEX(タスク!A$5:A$300,MATCH(SMALL(タスク!$AB$5:$AB$300,ROWS($A$7:A239)),タスク!$AB$5:$AB$300,0))),"")</f>
        <v/>
      </c>
      <c r="B239" s="53" t="str">
        <f>IFERROR(IF(SMALL(タスク!$AB$5:$AB$300,ROWS($A$7:A239))&gt;=1000000000000,"",INDEX(タスク!B$5:B$300,MATCH(SMALL(タスク!$AB$5:$AB$300,ROWS($A$7:A239)),タスク!$AB$5:$AB$300,0))),"")</f>
        <v/>
      </c>
      <c r="C239" s="53" t="str">
        <f>IFERROR(IF(SMALL(タスク!$AB$5:$AB$300,ROWS($A$7:A239))&gt;=1000000000000,"",INDEX(タスク!C$5:C$300,MATCH(SMALL(タスク!$AB$5:$AB$300,ROWS($A$7:A239)),タスク!$AB$5:$AB$300,0))),"")</f>
        <v/>
      </c>
      <c r="D239" s="53" t="str">
        <f>IFERROR(IF(SMALL(タスク!$AB$5:$AB$300,ROWS($A$7:A239))&gt;=1000000000000,"",INDEX(タスク!D$5:D$300,MATCH(SMALL(タスク!$AB$5:$AB$300,ROWS($A$7:A239)),タスク!$AB$5:$AB$300,0))),"")</f>
        <v/>
      </c>
      <c r="E239" s="53" t="str">
        <f>IFERROR(IF(SMALL(タスク!$AB$5:$AB$300,ROWS($A$7:A239))&gt;=1000000000000,"",INDEX(タスク!E$5:E$300,MATCH(SMALL(タスク!$AB$5:$AB$300,ROWS($A$7:A239)),タスク!$AB$5:$AB$300,0))),"")</f>
        <v/>
      </c>
      <c r="F239" s="53" t="str">
        <f>IFERROR(IF(SMALL(タスク!$AB$5:$AB$300,ROWS($A$7:A239))&gt;=1000000000000,"",INDEX(タスク!F$5:F$300,MATCH(SMALL(タスク!$AB$5:$AB$300,ROWS($A$7:A239)),タスク!$AB$5:$AB$300,0))),"")</f>
        <v/>
      </c>
      <c r="G239" s="53" t="str">
        <f>IFERROR(IF(SMALL(タスク!$AB$5:$AB$300,ROWS($A$7:A239))&gt;=1000000000000,"",INDEX(タスク!G$5:G$300,MATCH(SMALL(タスク!$AB$5:$AB$300,ROWS($A$7:A239)),タスク!$AB$5:$AB$300,0))),"")</f>
        <v/>
      </c>
      <c r="H239" s="53" t="str">
        <f>IFERROR(IF(SMALL(タスク!$AB$5:$AB$300,ROWS($A$7:A239))&gt;=1000000000000,"",INDEX(タスク!H$5:H$300,MATCH(SMALL(タスク!$AB$5:$AB$300,ROWS($A$7:A239)),タスク!$AB$5:$AB$300,0))),"")</f>
        <v/>
      </c>
      <c r="I239" s="53" t="str">
        <f>IFERROR(IF(SMALL(タスク!$AB$5:$AB$300,ROWS($A$7:A239))&gt;=1000000000000,"",INDEX(タスク!I$5:I$300,MATCH(SMALL(タスク!$AB$5:$AB$300,ROWS($A$7:A239)),タスク!$AB$5:$AB$300,0))),"")</f>
        <v/>
      </c>
      <c r="J239" s="53" t="str">
        <f>IFERROR(IF(SMALL(タスク!$AB$5:$AB$300,ROWS($A$7:A239))&gt;=1000000000000,"",INDEX(タスク!J$5:J$300,MATCH(SMALL(タスク!$AB$5:$AB$300,ROWS($A$7:A239)),タスク!$AB$5:$AB$300,0))),"")</f>
        <v/>
      </c>
    </row>
    <row r="240" spans="1:10">
      <c r="A240" s="53" t="str">
        <f>IFERROR(IF(SMALL(タスク!$AB$5:$AB$300,ROWS($A$7:A240))&gt;=1000000000000,"",INDEX(タスク!A$5:A$300,MATCH(SMALL(タスク!$AB$5:$AB$300,ROWS($A$7:A240)),タスク!$AB$5:$AB$300,0))),"")</f>
        <v/>
      </c>
      <c r="B240" s="53" t="str">
        <f>IFERROR(IF(SMALL(タスク!$AB$5:$AB$300,ROWS($A$7:A240))&gt;=1000000000000,"",INDEX(タスク!B$5:B$300,MATCH(SMALL(タスク!$AB$5:$AB$300,ROWS($A$7:A240)),タスク!$AB$5:$AB$300,0))),"")</f>
        <v/>
      </c>
      <c r="C240" s="53" t="str">
        <f>IFERROR(IF(SMALL(タスク!$AB$5:$AB$300,ROWS($A$7:A240))&gt;=1000000000000,"",INDEX(タスク!C$5:C$300,MATCH(SMALL(タスク!$AB$5:$AB$300,ROWS($A$7:A240)),タスク!$AB$5:$AB$300,0))),"")</f>
        <v/>
      </c>
      <c r="D240" s="53" t="str">
        <f>IFERROR(IF(SMALL(タスク!$AB$5:$AB$300,ROWS($A$7:A240))&gt;=1000000000000,"",INDEX(タスク!D$5:D$300,MATCH(SMALL(タスク!$AB$5:$AB$300,ROWS($A$7:A240)),タスク!$AB$5:$AB$300,0))),"")</f>
        <v/>
      </c>
      <c r="E240" s="53" t="str">
        <f>IFERROR(IF(SMALL(タスク!$AB$5:$AB$300,ROWS($A$7:A240))&gt;=1000000000000,"",INDEX(タスク!E$5:E$300,MATCH(SMALL(タスク!$AB$5:$AB$300,ROWS($A$7:A240)),タスク!$AB$5:$AB$300,0))),"")</f>
        <v/>
      </c>
      <c r="F240" s="53" t="str">
        <f>IFERROR(IF(SMALL(タスク!$AB$5:$AB$300,ROWS($A$7:A240))&gt;=1000000000000,"",INDEX(タスク!F$5:F$300,MATCH(SMALL(タスク!$AB$5:$AB$300,ROWS($A$7:A240)),タスク!$AB$5:$AB$300,0))),"")</f>
        <v/>
      </c>
      <c r="G240" s="53" t="str">
        <f>IFERROR(IF(SMALL(タスク!$AB$5:$AB$300,ROWS($A$7:A240))&gt;=1000000000000,"",INDEX(タスク!G$5:G$300,MATCH(SMALL(タスク!$AB$5:$AB$300,ROWS($A$7:A240)),タスク!$AB$5:$AB$300,0))),"")</f>
        <v/>
      </c>
      <c r="H240" s="53" t="str">
        <f>IFERROR(IF(SMALL(タスク!$AB$5:$AB$300,ROWS($A$7:A240))&gt;=1000000000000,"",INDEX(タスク!H$5:H$300,MATCH(SMALL(タスク!$AB$5:$AB$300,ROWS($A$7:A240)),タスク!$AB$5:$AB$300,0))),"")</f>
        <v/>
      </c>
      <c r="I240" s="53" t="str">
        <f>IFERROR(IF(SMALL(タスク!$AB$5:$AB$300,ROWS($A$7:A240))&gt;=1000000000000,"",INDEX(タスク!I$5:I$300,MATCH(SMALL(タスク!$AB$5:$AB$300,ROWS($A$7:A240)),タスク!$AB$5:$AB$300,0))),"")</f>
        <v/>
      </c>
      <c r="J240" s="53" t="str">
        <f>IFERROR(IF(SMALL(タスク!$AB$5:$AB$300,ROWS($A$7:A240))&gt;=1000000000000,"",INDEX(タスク!J$5:J$300,MATCH(SMALL(タスク!$AB$5:$AB$300,ROWS($A$7:A240)),タスク!$AB$5:$AB$300,0))),"")</f>
        <v/>
      </c>
    </row>
    <row r="241" spans="1:10">
      <c r="A241" s="53" t="str">
        <f>IFERROR(IF(SMALL(タスク!$AB$5:$AB$300,ROWS($A$7:A241))&gt;=1000000000000,"",INDEX(タスク!A$5:A$300,MATCH(SMALL(タスク!$AB$5:$AB$300,ROWS($A$7:A241)),タスク!$AB$5:$AB$300,0))),"")</f>
        <v/>
      </c>
      <c r="B241" s="53" t="str">
        <f>IFERROR(IF(SMALL(タスク!$AB$5:$AB$300,ROWS($A$7:A241))&gt;=1000000000000,"",INDEX(タスク!B$5:B$300,MATCH(SMALL(タスク!$AB$5:$AB$300,ROWS($A$7:A241)),タスク!$AB$5:$AB$300,0))),"")</f>
        <v/>
      </c>
      <c r="C241" s="53" t="str">
        <f>IFERROR(IF(SMALL(タスク!$AB$5:$AB$300,ROWS($A$7:A241))&gt;=1000000000000,"",INDEX(タスク!C$5:C$300,MATCH(SMALL(タスク!$AB$5:$AB$300,ROWS($A$7:A241)),タスク!$AB$5:$AB$300,0))),"")</f>
        <v/>
      </c>
      <c r="D241" s="53" t="str">
        <f>IFERROR(IF(SMALL(タスク!$AB$5:$AB$300,ROWS($A$7:A241))&gt;=1000000000000,"",INDEX(タスク!D$5:D$300,MATCH(SMALL(タスク!$AB$5:$AB$300,ROWS($A$7:A241)),タスク!$AB$5:$AB$300,0))),"")</f>
        <v/>
      </c>
      <c r="E241" s="53" t="str">
        <f>IFERROR(IF(SMALL(タスク!$AB$5:$AB$300,ROWS($A$7:A241))&gt;=1000000000000,"",INDEX(タスク!E$5:E$300,MATCH(SMALL(タスク!$AB$5:$AB$300,ROWS($A$7:A241)),タスク!$AB$5:$AB$300,0))),"")</f>
        <v/>
      </c>
      <c r="F241" s="53" t="str">
        <f>IFERROR(IF(SMALL(タスク!$AB$5:$AB$300,ROWS($A$7:A241))&gt;=1000000000000,"",INDEX(タスク!F$5:F$300,MATCH(SMALL(タスク!$AB$5:$AB$300,ROWS($A$7:A241)),タスク!$AB$5:$AB$300,0))),"")</f>
        <v/>
      </c>
      <c r="G241" s="53" t="str">
        <f>IFERROR(IF(SMALL(タスク!$AB$5:$AB$300,ROWS($A$7:A241))&gt;=1000000000000,"",INDEX(タスク!G$5:G$300,MATCH(SMALL(タスク!$AB$5:$AB$300,ROWS($A$7:A241)),タスク!$AB$5:$AB$300,0))),"")</f>
        <v/>
      </c>
      <c r="H241" s="53" t="str">
        <f>IFERROR(IF(SMALL(タスク!$AB$5:$AB$300,ROWS($A$7:A241))&gt;=1000000000000,"",INDEX(タスク!H$5:H$300,MATCH(SMALL(タスク!$AB$5:$AB$300,ROWS($A$7:A241)),タスク!$AB$5:$AB$300,0))),"")</f>
        <v/>
      </c>
      <c r="I241" s="53" t="str">
        <f>IFERROR(IF(SMALL(タスク!$AB$5:$AB$300,ROWS($A$7:A241))&gt;=1000000000000,"",INDEX(タスク!I$5:I$300,MATCH(SMALL(タスク!$AB$5:$AB$300,ROWS($A$7:A241)),タスク!$AB$5:$AB$300,0))),"")</f>
        <v/>
      </c>
      <c r="J241" s="53" t="str">
        <f>IFERROR(IF(SMALL(タスク!$AB$5:$AB$300,ROWS($A$7:A241))&gt;=1000000000000,"",INDEX(タスク!J$5:J$300,MATCH(SMALL(タスク!$AB$5:$AB$300,ROWS($A$7:A241)),タスク!$AB$5:$AB$300,0))),"")</f>
        <v/>
      </c>
    </row>
    <row r="242" spans="1:10">
      <c r="A242" s="53" t="str">
        <f>IFERROR(IF(SMALL(タスク!$AB$5:$AB$300,ROWS($A$7:A242))&gt;=1000000000000,"",INDEX(タスク!A$5:A$300,MATCH(SMALL(タスク!$AB$5:$AB$300,ROWS($A$7:A242)),タスク!$AB$5:$AB$300,0))),"")</f>
        <v/>
      </c>
      <c r="B242" s="53" t="str">
        <f>IFERROR(IF(SMALL(タスク!$AB$5:$AB$300,ROWS($A$7:A242))&gt;=1000000000000,"",INDEX(タスク!B$5:B$300,MATCH(SMALL(タスク!$AB$5:$AB$300,ROWS($A$7:A242)),タスク!$AB$5:$AB$300,0))),"")</f>
        <v/>
      </c>
      <c r="C242" s="53" t="str">
        <f>IFERROR(IF(SMALL(タスク!$AB$5:$AB$300,ROWS($A$7:A242))&gt;=1000000000000,"",INDEX(タスク!C$5:C$300,MATCH(SMALL(タスク!$AB$5:$AB$300,ROWS($A$7:A242)),タスク!$AB$5:$AB$300,0))),"")</f>
        <v/>
      </c>
      <c r="D242" s="53" t="str">
        <f>IFERROR(IF(SMALL(タスク!$AB$5:$AB$300,ROWS($A$7:A242))&gt;=1000000000000,"",INDEX(タスク!D$5:D$300,MATCH(SMALL(タスク!$AB$5:$AB$300,ROWS($A$7:A242)),タスク!$AB$5:$AB$300,0))),"")</f>
        <v/>
      </c>
      <c r="E242" s="53" t="str">
        <f>IFERROR(IF(SMALL(タスク!$AB$5:$AB$300,ROWS($A$7:A242))&gt;=1000000000000,"",INDEX(タスク!E$5:E$300,MATCH(SMALL(タスク!$AB$5:$AB$300,ROWS($A$7:A242)),タスク!$AB$5:$AB$300,0))),"")</f>
        <v/>
      </c>
      <c r="F242" s="53" t="str">
        <f>IFERROR(IF(SMALL(タスク!$AB$5:$AB$300,ROWS($A$7:A242))&gt;=1000000000000,"",INDEX(タスク!F$5:F$300,MATCH(SMALL(タスク!$AB$5:$AB$300,ROWS($A$7:A242)),タスク!$AB$5:$AB$300,0))),"")</f>
        <v/>
      </c>
      <c r="G242" s="53" t="str">
        <f>IFERROR(IF(SMALL(タスク!$AB$5:$AB$300,ROWS($A$7:A242))&gt;=1000000000000,"",INDEX(タスク!G$5:G$300,MATCH(SMALL(タスク!$AB$5:$AB$300,ROWS($A$7:A242)),タスク!$AB$5:$AB$300,0))),"")</f>
        <v/>
      </c>
      <c r="H242" s="53" t="str">
        <f>IFERROR(IF(SMALL(タスク!$AB$5:$AB$300,ROWS($A$7:A242))&gt;=1000000000000,"",INDEX(タスク!H$5:H$300,MATCH(SMALL(タスク!$AB$5:$AB$300,ROWS($A$7:A242)),タスク!$AB$5:$AB$300,0))),"")</f>
        <v/>
      </c>
      <c r="I242" s="53" t="str">
        <f>IFERROR(IF(SMALL(タスク!$AB$5:$AB$300,ROWS($A$7:A242))&gt;=1000000000000,"",INDEX(タスク!I$5:I$300,MATCH(SMALL(タスク!$AB$5:$AB$300,ROWS($A$7:A242)),タスク!$AB$5:$AB$300,0))),"")</f>
        <v/>
      </c>
      <c r="J242" s="53" t="str">
        <f>IFERROR(IF(SMALL(タスク!$AB$5:$AB$300,ROWS($A$7:A242))&gt;=1000000000000,"",INDEX(タスク!J$5:J$300,MATCH(SMALL(タスク!$AB$5:$AB$300,ROWS($A$7:A242)),タスク!$AB$5:$AB$300,0))),"")</f>
        <v/>
      </c>
    </row>
    <row r="243" spans="1:10">
      <c r="A243" s="53" t="str">
        <f>IFERROR(IF(SMALL(タスク!$AB$5:$AB$300,ROWS($A$7:A243))&gt;=1000000000000,"",INDEX(タスク!A$5:A$300,MATCH(SMALL(タスク!$AB$5:$AB$300,ROWS($A$7:A243)),タスク!$AB$5:$AB$300,0))),"")</f>
        <v/>
      </c>
      <c r="B243" s="53" t="str">
        <f>IFERROR(IF(SMALL(タスク!$AB$5:$AB$300,ROWS($A$7:A243))&gt;=1000000000000,"",INDEX(タスク!B$5:B$300,MATCH(SMALL(タスク!$AB$5:$AB$300,ROWS($A$7:A243)),タスク!$AB$5:$AB$300,0))),"")</f>
        <v/>
      </c>
      <c r="C243" s="53" t="str">
        <f>IFERROR(IF(SMALL(タスク!$AB$5:$AB$300,ROWS($A$7:A243))&gt;=1000000000000,"",INDEX(タスク!C$5:C$300,MATCH(SMALL(タスク!$AB$5:$AB$300,ROWS($A$7:A243)),タスク!$AB$5:$AB$300,0))),"")</f>
        <v/>
      </c>
      <c r="D243" s="53" t="str">
        <f>IFERROR(IF(SMALL(タスク!$AB$5:$AB$300,ROWS($A$7:A243))&gt;=1000000000000,"",INDEX(タスク!D$5:D$300,MATCH(SMALL(タスク!$AB$5:$AB$300,ROWS($A$7:A243)),タスク!$AB$5:$AB$300,0))),"")</f>
        <v/>
      </c>
      <c r="E243" s="53" t="str">
        <f>IFERROR(IF(SMALL(タスク!$AB$5:$AB$300,ROWS($A$7:A243))&gt;=1000000000000,"",INDEX(タスク!E$5:E$300,MATCH(SMALL(タスク!$AB$5:$AB$300,ROWS($A$7:A243)),タスク!$AB$5:$AB$300,0))),"")</f>
        <v/>
      </c>
      <c r="F243" s="53" t="str">
        <f>IFERROR(IF(SMALL(タスク!$AB$5:$AB$300,ROWS($A$7:A243))&gt;=1000000000000,"",INDEX(タスク!F$5:F$300,MATCH(SMALL(タスク!$AB$5:$AB$300,ROWS($A$7:A243)),タスク!$AB$5:$AB$300,0))),"")</f>
        <v/>
      </c>
      <c r="G243" s="53" t="str">
        <f>IFERROR(IF(SMALL(タスク!$AB$5:$AB$300,ROWS($A$7:A243))&gt;=1000000000000,"",INDEX(タスク!G$5:G$300,MATCH(SMALL(タスク!$AB$5:$AB$300,ROWS($A$7:A243)),タスク!$AB$5:$AB$300,0))),"")</f>
        <v/>
      </c>
      <c r="H243" s="53" t="str">
        <f>IFERROR(IF(SMALL(タスク!$AB$5:$AB$300,ROWS($A$7:A243))&gt;=1000000000000,"",INDEX(タスク!H$5:H$300,MATCH(SMALL(タスク!$AB$5:$AB$300,ROWS($A$7:A243)),タスク!$AB$5:$AB$300,0))),"")</f>
        <v/>
      </c>
      <c r="I243" s="53" t="str">
        <f>IFERROR(IF(SMALL(タスク!$AB$5:$AB$300,ROWS($A$7:A243))&gt;=1000000000000,"",INDEX(タスク!I$5:I$300,MATCH(SMALL(タスク!$AB$5:$AB$300,ROWS($A$7:A243)),タスク!$AB$5:$AB$300,0))),"")</f>
        <v/>
      </c>
      <c r="J243" s="53" t="str">
        <f>IFERROR(IF(SMALL(タスク!$AB$5:$AB$300,ROWS($A$7:A243))&gt;=1000000000000,"",INDEX(タスク!J$5:J$300,MATCH(SMALL(タスク!$AB$5:$AB$300,ROWS($A$7:A243)),タスク!$AB$5:$AB$300,0))),"")</f>
        <v/>
      </c>
    </row>
    <row r="244" spans="1:10">
      <c r="A244" s="53" t="str">
        <f>IFERROR(IF(SMALL(タスク!$AB$5:$AB$300,ROWS($A$7:A244))&gt;=1000000000000,"",INDEX(タスク!A$5:A$300,MATCH(SMALL(タスク!$AB$5:$AB$300,ROWS($A$7:A244)),タスク!$AB$5:$AB$300,0))),"")</f>
        <v/>
      </c>
      <c r="B244" s="53" t="str">
        <f>IFERROR(IF(SMALL(タスク!$AB$5:$AB$300,ROWS($A$7:A244))&gt;=1000000000000,"",INDEX(タスク!B$5:B$300,MATCH(SMALL(タスク!$AB$5:$AB$300,ROWS($A$7:A244)),タスク!$AB$5:$AB$300,0))),"")</f>
        <v/>
      </c>
      <c r="C244" s="53" t="str">
        <f>IFERROR(IF(SMALL(タスク!$AB$5:$AB$300,ROWS($A$7:A244))&gt;=1000000000000,"",INDEX(タスク!C$5:C$300,MATCH(SMALL(タスク!$AB$5:$AB$300,ROWS($A$7:A244)),タスク!$AB$5:$AB$300,0))),"")</f>
        <v/>
      </c>
      <c r="D244" s="53" t="str">
        <f>IFERROR(IF(SMALL(タスク!$AB$5:$AB$300,ROWS($A$7:A244))&gt;=1000000000000,"",INDEX(タスク!D$5:D$300,MATCH(SMALL(タスク!$AB$5:$AB$300,ROWS($A$7:A244)),タスク!$AB$5:$AB$300,0))),"")</f>
        <v/>
      </c>
      <c r="E244" s="53" t="str">
        <f>IFERROR(IF(SMALL(タスク!$AB$5:$AB$300,ROWS($A$7:A244))&gt;=1000000000000,"",INDEX(タスク!E$5:E$300,MATCH(SMALL(タスク!$AB$5:$AB$300,ROWS($A$7:A244)),タスク!$AB$5:$AB$300,0))),"")</f>
        <v/>
      </c>
      <c r="F244" s="53" t="str">
        <f>IFERROR(IF(SMALL(タスク!$AB$5:$AB$300,ROWS($A$7:A244))&gt;=1000000000000,"",INDEX(タスク!F$5:F$300,MATCH(SMALL(タスク!$AB$5:$AB$300,ROWS($A$7:A244)),タスク!$AB$5:$AB$300,0))),"")</f>
        <v/>
      </c>
      <c r="G244" s="53" t="str">
        <f>IFERROR(IF(SMALL(タスク!$AB$5:$AB$300,ROWS($A$7:A244))&gt;=1000000000000,"",INDEX(タスク!G$5:G$300,MATCH(SMALL(タスク!$AB$5:$AB$300,ROWS($A$7:A244)),タスク!$AB$5:$AB$300,0))),"")</f>
        <v/>
      </c>
      <c r="H244" s="53" t="str">
        <f>IFERROR(IF(SMALL(タスク!$AB$5:$AB$300,ROWS($A$7:A244))&gt;=1000000000000,"",INDEX(タスク!H$5:H$300,MATCH(SMALL(タスク!$AB$5:$AB$300,ROWS($A$7:A244)),タスク!$AB$5:$AB$300,0))),"")</f>
        <v/>
      </c>
      <c r="I244" s="53" t="str">
        <f>IFERROR(IF(SMALL(タスク!$AB$5:$AB$300,ROWS($A$7:A244))&gt;=1000000000000,"",INDEX(タスク!I$5:I$300,MATCH(SMALL(タスク!$AB$5:$AB$300,ROWS($A$7:A244)),タスク!$AB$5:$AB$300,0))),"")</f>
        <v/>
      </c>
      <c r="J244" s="53" t="str">
        <f>IFERROR(IF(SMALL(タスク!$AB$5:$AB$300,ROWS($A$7:A244))&gt;=1000000000000,"",INDEX(タスク!J$5:J$300,MATCH(SMALL(タスク!$AB$5:$AB$300,ROWS($A$7:A244)),タスク!$AB$5:$AB$300,0))),"")</f>
        <v/>
      </c>
    </row>
    <row r="245" spans="1:10">
      <c r="A245" s="53" t="str">
        <f>IFERROR(IF(SMALL(タスク!$AB$5:$AB$300,ROWS($A$7:A245))&gt;=1000000000000,"",INDEX(タスク!A$5:A$300,MATCH(SMALL(タスク!$AB$5:$AB$300,ROWS($A$7:A245)),タスク!$AB$5:$AB$300,0))),"")</f>
        <v/>
      </c>
      <c r="B245" s="53" t="str">
        <f>IFERROR(IF(SMALL(タスク!$AB$5:$AB$300,ROWS($A$7:A245))&gt;=1000000000000,"",INDEX(タスク!B$5:B$300,MATCH(SMALL(タスク!$AB$5:$AB$300,ROWS($A$7:A245)),タスク!$AB$5:$AB$300,0))),"")</f>
        <v/>
      </c>
      <c r="C245" s="53" t="str">
        <f>IFERROR(IF(SMALL(タスク!$AB$5:$AB$300,ROWS($A$7:A245))&gt;=1000000000000,"",INDEX(タスク!C$5:C$300,MATCH(SMALL(タスク!$AB$5:$AB$300,ROWS($A$7:A245)),タスク!$AB$5:$AB$300,0))),"")</f>
        <v/>
      </c>
      <c r="D245" s="53" t="str">
        <f>IFERROR(IF(SMALL(タスク!$AB$5:$AB$300,ROWS($A$7:A245))&gt;=1000000000000,"",INDEX(タスク!D$5:D$300,MATCH(SMALL(タスク!$AB$5:$AB$300,ROWS($A$7:A245)),タスク!$AB$5:$AB$300,0))),"")</f>
        <v/>
      </c>
      <c r="E245" s="53" t="str">
        <f>IFERROR(IF(SMALL(タスク!$AB$5:$AB$300,ROWS($A$7:A245))&gt;=1000000000000,"",INDEX(タスク!E$5:E$300,MATCH(SMALL(タスク!$AB$5:$AB$300,ROWS($A$7:A245)),タスク!$AB$5:$AB$300,0))),"")</f>
        <v/>
      </c>
      <c r="F245" s="53" t="str">
        <f>IFERROR(IF(SMALL(タスク!$AB$5:$AB$300,ROWS($A$7:A245))&gt;=1000000000000,"",INDEX(タスク!F$5:F$300,MATCH(SMALL(タスク!$AB$5:$AB$300,ROWS($A$7:A245)),タスク!$AB$5:$AB$300,0))),"")</f>
        <v/>
      </c>
      <c r="G245" s="53" t="str">
        <f>IFERROR(IF(SMALL(タスク!$AB$5:$AB$300,ROWS($A$7:A245))&gt;=1000000000000,"",INDEX(タスク!G$5:G$300,MATCH(SMALL(タスク!$AB$5:$AB$300,ROWS($A$7:A245)),タスク!$AB$5:$AB$300,0))),"")</f>
        <v/>
      </c>
      <c r="H245" s="53" t="str">
        <f>IFERROR(IF(SMALL(タスク!$AB$5:$AB$300,ROWS($A$7:A245))&gt;=1000000000000,"",INDEX(タスク!H$5:H$300,MATCH(SMALL(タスク!$AB$5:$AB$300,ROWS($A$7:A245)),タスク!$AB$5:$AB$300,0))),"")</f>
        <v/>
      </c>
      <c r="I245" s="53" t="str">
        <f>IFERROR(IF(SMALL(タスク!$AB$5:$AB$300,ROWS($A$7:A245))&gt;=1000000000000,"",INDEX(タスク!I$5:I$300,MATCH(SMALL(タスク!$AB$5:$AB$300,ROWS($A$7:A245)),タスク!$AB$5:$AB$300,0))),"")</f>
        <v/>
      </c>
      <c r="J245" s="53" t="str">
        <f>IFERROR(IF(SMALL(タスク!$AB$5:$AB$300,ROWS($A$7:A245))&gt;=1000000000000,"",INDEX(タスク!J$5:J$300,MATCH(SMALL(タスク!$AB$5:$AB$300,ROWS($A$7:A245)),タスク!$AB$5:$AB$300,0))),"")</f>
        <v/>
      </c>
    </row>
    <row r="246" spans="1:10">
      <c r="A246" s="53" t="str">
        <f>IFERROR(IF(SMALL(タスク!$AB$5:$AB$300,ROWS($A$7:A246))&gt;=1000000000000,"",INDEX(タスク!A$5:A$300,MATCH(SMALL(タスク!$AB$5:$AB$300,ROWS($A$7:A246)),タスク!$AB$5:$AB$300,0))),"")</f>
        <v/>
      </c>
      <c r="B246" s="53" t="str">
        <f>IFERROR(IF(SMALL(タスク!$AB$5:$AB$300,ROWS($A$7:A246))&gt;=1000000000000,"",INDEX(タスク!B$5:B$300,MATCH(SMALL(タスク!$AB$5:$AB$300,ROWS($A$7:A246)),タスク!$AB$5:$AB$300,0))),"")</f>
        <v/>
      </c>
      <c r="C246" s="53" t="str">
        <f>IFERROR(IF(SMALL(タスク!$AB$5:$AB$300,ROWS($A$7:A246))&gt;=1000000000000,"",INDEX(タスク!C$5:C$300,MATCH(SMALL(タスク!$AB$5:$AB$300,ROWS($A$7:A246)),タスク!$AB$5:$AB$300,0))),"")</f>
        <v/>
      </c>
      <c r="D246" s="53" t="str">
        <f>IFERROR(IF(SMALL(タスク!$AB$5:$AB$300,ROWS($A$7:A246))&gt;=1000000000000,"",INDEX(タスク!D$5:D$300,MATCH(SMALL(タスク!$AB$5:$AB$300,ROWS($A$7:A246)),タスク!$AB$5:$AB$300,0))),"")</f>
        <v/>
      </c>
      <c r="E246" s="53" t="str">
        <f>IFERROR(IF(SMALL(タスク!$AB$5:$AB$300,ROWS($A$7:A246))&gt;=1000000000000,"",INDEX(タスク!E$5:E$300,MATCH(SMALL(タスク!$AB$5:$AB$300,ROWS($A$7:A246)),タスク!$AB$5:$AB$300,0))),"")</f>
        <v/>
      </c>
      <c r="F246" s="53" t="str">
        <f>IFERROR(IF(SMALL(タスク!$AB$5:$AB$300,ROWS($A$7:A246))&gt;=1000000000000,"",INDEX(タスク!F$5:F$300,MATCH(SMALL(タスク!$AB$5:$AB$300,ROWS($A$7:A246)),タスク!$AB$5:$AB$300,0))),"")</f>
        <v/>
      </c>
      <c r="G246" s="53" t="str">
        <f>IFERROR(IF(SMALL(タスク!$AB$5:$AB$300,ROWS($A$7:A246))&gt;=1000000000000,"",INDEX(タスク!G$5:G$300,MATCH(SMALL(タスク!$AB$5:$AB$300,ROWS($A$7:A246)),タスク!$AB$5:$AB$300,0))),"")</f>
        <v/>
      </c>
      <c r="H246" s="53" t="str">
        <f>IFERROR(IF(SMALL(タスク!$AB$5:$AB$300,ROWS($A$7:A246))&gt;=1000000000000,"",INDEX(タスク!H$5:H$300,MATCH(SMALL(タスク!$AB$5:$AB$300,ROWS($A$7:A246)),タスク!$AB$5:$AB$300,0))),"")</f>
        <v/>
      </c>
      <c r="I246" s="53" t="str">
        <f>IFERROR(IF(SMALL(タスク!$AB$5:$AB$300,ROWS($A$7:A246))&gt;=1000000000000,"",INDEX(タスク!I$5:I$300,MATCH(SMALL(タスク!$AB$5:$AB$300,ROWS($A$7:A246)),タスク!$AB$5:$AB$300,0))),"")</f>
        <v/>
      </c>
      <c r="J246" s="53" t="str">
        <f>IFERROR(IF(SMALL(タスク!$AB$5:$AB$300,ROWS($A$7:A246))&gt;=1000000000000,"",INDEX(タスク!J$5:J$300,MATCH(SMALL(タスク!$AB$5:$AB$300,ROWS($A$7:A246)),タスク!$AB$5:$AB$300,0))),"")</f>
        <v/>
      </c>
    </row>
    <row r="247" spans="1:10">
      <c r="A247" s="53" t="str">
        <f>IFERROR(IF(SMALL(タスク!$AB$5:$AB$300,ROWS($A$7:A247))&gt;=1000000000000,"",INDEX(タスク!A$5:A$300,MATCH(SMALL(タスク!$AB$5:$AB$300,ROWS($A$7:A247)),タスク!$AB$5:$AB$300,0))),"")</f>
        <v/>
      </c>
      <c r="B247" s="53" t="str">
        <f>IFERROR(IF(SMALL(タスク!$AB$5:$AB$300,ROWS($A$7:A247))&gt;=1000000000000,"",INDEX(タスク!B$5:B$300,MATCH(SMALL(タスク!$AB$5:$AB$300,ROWS($A$7:A247)),タスク!$AB$5:$AB$300,0))),"")</f>
        <v/>
      </c>
      <c r="C247" s="53" t="str">
        <f>IFERROR(IF(SMALL(タスク!$AB$5:$AB$300,ROWS($A$7:A247))&gt;=1000000000000,"",INDEX(タスク!C$5:C$300,MATCH(SMALL(タスク!$AB$5:$AB$300,ROWS($A$7:A247)),タスク!$AB$5:$AB$300,0))),"")</f>
        <v/>
      </c>
      <c r="D247" s="53" t="str">
        <f>IFERROR(IF(SMALL(タスク!$AB$5:$AB$300,ROWS($A$7:A247))&gt;=1000000000000,"",INDEX(タスク!D$5:D$300,MATCH(SMALL(タスク!$AB$5:$AB$300,ROWS($A$7:A247)),タスク!$AB$5:$AB$300,0))),"")</f>
        <v/>
      </c>
      <c r="E247" s="53" t="str">
        <f>IFERROR(IF(SMALL(タスク!$AB$5:$AB$300,ROWS($A$7:A247))&gt;=1000000000000,"",INDEX(タスク!E$5:E$300,MATCH(SMALL(タスク!$AB$5:$AB$300,ROWS($A$7:A247)),タスク!$AB$5:$AB$300,0))),"")</f>
        <v/>
      </c>
      <c r="F247" s="53" t="str">
        <f>IFERROR(IF(SMALL(タスク!$AB$5:$AB$300,ROWS($A$7:A247))&gt;=1000000000000,"",INDEX(タスク!F$5:F$300,MATCH(SMALL(タスク!$AB$5:$AB$300,ROWS($A$7:A247)),タスク!$AB$5:$AB$300,0))),"")</f>
        <v/>
      </c>
      <c r="G247" s="53" t="str">
        <f>IFERROR(IF(SMALL(タスク!$AB$5:$AB$300,ROWS($A$7:A247))&gt;=1000000000000,"",INDEX(タスク!G$5:G$300,MATCH(SMALL(タスク!$AB$5:$AB$300,ROWS($A$7:A247)),タスク!$AB$5:$AB$300,0))),"")</f>
        <v/>
      </c>
      <c r="H247" s="53" t="str">
        <f>IFERROR(IF(SMALL(タスク!$AB$5:$AB$300,ROWS($A$7:A247))&gt;=1000000000000,"",INDEX(タスク!H$5:H$300,MATCH(SMALL(タスク!$AB$5:$AB$300,ROWS($A$7:A247)),タスク!$AB$5:$AB$300,0))),"")</f>
        <v/>
      </c>
      <c r="I247" s="53" t="str">
        <f>IFERROR(IF(SMALL(タスク!$AB$5:$AB$300,ROWS($A$7:A247))&gt;=1000000000000,"",INDEX(タスク!I$5:I$300,MATCH(SMALL(タスク!$AB$5:$AB$300,ROWS($A$7:A247)),タスク!$AB$5:$AB$300,0))),"")</f>
        <v/>
      </c>
      <c r="J247" s="53" t="str">
        <f>IFERROR(IF(SMALL(タスク!$AB$5:$AB$300,ROWS($A$7:A247))&gt;=1000000000000,"",INDEX(タスク!J$5:J$300,MATCH(SMALL(タスク!$AB$5:$AB$300,ROWS($A$7:A247)),タスク!$AB$5:$AB$300,0))),"")</f>
        <v/>
      </c>
    </row>
    <row r="248" spans="1:10">
      <c r="A248" s="53" t="str">
        <f>IFERROR(IF(SMALL(タスク!$AB$5:$AB$300,ROWS($A$7:A248))&gt;=1000000000000,"",INDEX(タスク!A$5:A$300,MATCH(SMALL(タスク!$AB$5:$AB$300,ROWS($A$7:A248)),タスク!$AB$5:$AB$300,0))),"")</f>
        <v/>
      </c>
      <c r="B248" s="53" t="str">
        <f>IFERROR(IF(SMALL(タスク!$AB$5:$AB$300,ROWS($A$7:A248))&gt;=1000000000000,"",INDEX(タスク!B$5:B$300,MATCH(SMALL(タスク!$AB$5:$AB$300,ROWS($A$7:A248)),タスク!$AB$5:$AB$300,0))),"")</f>
        <v/>
      </c>
      <c r="C248" s="53" t="str">
        <f>IFERROR(IF(SMALL(タスク!$AB$5:$AB$300,ROWS($A$7:A248))&gt;=1000000000000,"",INDEX(タスク!C$5:C$300,MATCH(SMALL(タスク!$AB$5:$AB$300,ROWS($A$7:A248)),タスク!$AB$5:$AB$300,0))),"")</f>
        <v/>
      </c>
      <c r="D248" s="53" t="str">
        <f>IFERROR(IF(SMALL(タスク!$AB$5:$AB$300,ROWS($A$7:A248))&gt;=1000000000000,"",INDEX(タスク!D$5:D$300,MATCH(SMALL(タスク!$AB$5:$AB$300,ROWS($A$7:A248)),タスク!$AB$5:$AB$300,0))),"")</f>
        <v/>
      </c>
      <c r="E248" s="53" t="str">
        <f>IFERROR(IF(SMALL(タスク!$AB$5:$AB$300,ROWS($A$7:A248))&gt;=1000000000000,"",INDEX(タスク!E$5:E$300,MATCH(SMALL(タスク!$AB$5:$AB$300,ROWS($A$7:A248)),タスク!$AB$5:$AB$300,0))),"")</f>
        <v/>
      </c>
      <c r="F248" s="53" t="str">
        <f>IFERROR(IF(SMALL(タスク!$AB$5:$AB$300,ROWS($A$7:A248))&gt;=1000000000000,"",INDEX(タスク!F$5:F$300,MATCH(SMALL(タスク!$AB$5:$AB$300,ROWS($A$7:A248)),タスク!$AB$5:$AB$300,0))),"")</f>
        <v/>
      </c>
      <c r="G248" s="53" t="str">
        <f>IFERROR(IF(SMALL(タスク!$AB$5:$AB$300,ROWS($A$7:A248))&gt;=1000000000000,"",INDEX(タスク!G$5:G$300,MATCH(SMALL(タスク!$AB$5:$AB$300,ROWS($A$7:A248)),タスク!$AB$5:$AB$300,0))),"")</f>
        <v/>
      </c>
      <c r="H248" s="53" t="str">
        <f>IFERROR(IF(SMALL(タスク!$AB$5:$AB$300,ROWS($A$7:A248))&gt;=1000000000000,"",INDEX(タスク!H$5:H$300,MATCH(SMALL(タスク!$AB$5:$AB$300,ROWS($A$7:A248)),タスク!$AB$5:$AB$300,0))),"")</f>
        <v/>
      </c>
      <c r="I248" s="53" t="str">
        <f>IFERROR(IF(SMALL(タスク!$AB$5:$AB$300,ROWS($A$7:A248))&gt;=1000000000000,"",INDEX(タスク!I$5:I$300,MATCH(SMALL(タスク!$AB$5:$AB$300,ROWS($A$7:A248)),タスク!$AB$5:$AB$300,0))),"")</f>
        <v/>
      </c>
      <c r="J248" s="53" t="str">
        <f>IFERROR(IF(SMALL(タスク!$AB$5:$AB$300,ROWS($A$7:A248))&gt;=1000000000000,"",INDEX(タスク!J$5:J$300,MATCH(SMALL(タスク!$AB$5:$AB$300,ROWS($A$7:A248)),タスク!$AB$5:$AB$300,0))),"")</f>
        <v/>
      </c>
    </row>
    <row r="249" spans="1:10">
      <c r="A249" s="53" t="str">
        <f>IFERROR(IF(SMALL(タスク!$AB$5:$AB$300,ROWS($A$7:A249))&gt;=1000000000000,"",INDEX(タスク!A$5:A$300,MATCH(SMALL(タスク!$AB$5:$AB$300,ROWS($A$7:A249)),タスク!$AB$5:$AB$300,0))),"")</f>
        <v/>
      </c>
      <c r="B249" s="53" t="str">
        <f>IFERROR(IF(SMALL(タスク!$AB$5:$AB$300,ROWS($A$7:A249))&gt;=1000000000000,"",INDEX(タスク!B$5:B$300,MATCH(SMALL(タスク!$AB$5:$AB$300,ROWS($A$7:A249)),タスク!$AB$5:$AB$300,0))),"")</f>
        <v/>
      </c>
      <c r="C249" s="53" t="str">
        <f>IFERROR(IF(SMALL(タスク!$AB$5:$AB$300,ROWS($A$7:A249))&gt;=1000000000000,"",INDEX(タスク!C$5:C$300,MATCH(SMALL(タスク!$AB$5:$AB$300,ROWS($A$7:A249)),タスク!$AB$5:$AB$300,0))),"")</f>
        <v/>
      </c>
      <c r="D249" s="53" t="str">
        <f>IFERROR(IF(SMALL(タスク!$AB$5:$AB$300,ROWS($A$7:A249))&gt;=1000000000000,"",INDEX(タスク!D$5:D$300,MATCH(SMALL(タスク!$AB$5:$AB$300,ROWS($A$7:A249)),タスク!$AB$5:$AB$300,0))),"")</f>
        <v/>
      </c>
      <c r="E249" s="53" t="str">
        <f>IFERROR(IF(SMALL(タスク!$AB$5:$AB$300,ROWS($A$7:A249))&gt;=1000000000000,"",INDEX(タスク!E$5:E$300,MATCH(SMALL(タスク!$AB$5:$AB$300,ROWS($A$7:A249)),タスク!$AB$5:$AB$300,0))),"")</f>
        <v/>
      </c>
      <c r="F249" s="53" t="str">
        <f>IFERROR(IF(SMALL(タスク!$AB$5:$AB$300,ROWS($A$7:A249))&gt;=1000000000000,"",INDEX(タスク!F$5:F$300,MATCH(SMALL(タスク!$AB$5:$AB$300,ROWS($A$7:A249)),タスク!$AB$5:$AB$300,0))),"")</f>
        <v/>
      </c>
      <c r="G249" s="53" t="str">
        <f>IFERROR(IF(SMALL(タスク!$AB$5:$AB$300,ROWS($A$7:A249))&gt;=1000000000000,"",INDEX(タスク!G$5:G$300,MATCH(SMALL(タスク!$AB$5:$AB$300,ROWS($A$7:A249)),タスク!$AB$5:$AB$300,0))),"")</f>
        <v/>
      </c>
      <c r="H249" s="53" t="str">
        <f>IFERROR(IF(SMALL(タスク!$AB$5:$AB$300,ROWS($A$7:A249))&gt;=1000000000000,"",INDEX(タスク!H$5:H$300,MATCH(SMALL(タスク!$AB$5:$AB$300,ROWS($A$7:A249)),タスク!$AB$5:$AB$300,0))),"")</f>
        <v/>
      </c>
      <c r="I249" s="53" t="str">
        <f>IFERROR(IF(SMALL(タスク!$AB$5:$AB$300,ROWS($A$7:A249))&gt;=1000000000000,"",INDEX(タスク!I$5:I$300,MATCH(SMALL(タスク!$AB$5:$AB$300,ROWS($A$7:A249)),タスク!$AB$5:$AB$300,0))),"")</f>
        <v/>
      </c>
      <c r="J249" s="53" t="str">
        <f>IFERROR(IF(SMALL(タスク!$AB$5:$AB$300,ROWS($A$7:A249))&gt;=1000000000000,"",INDEX(タスク!J$5:J$300,MATCH(SMALL(タスク!$AB$5:$AB$300,ROWS($A$7:A249)),タスク!$AB$5:$AB$300,0))),"")</f>
        <v/>
      </c>
    </row>
    <row r="250" spans="1:10">
      <c r="A250" s="53" t="str">
        <f>IFERROR(IF(SMALL(タスク!$AB$5:$AB$300,ROWS($A$7:A250))&gt;=1000000000000,"",INDEX(タスク!A$5:A$300,MATCH(SMALL(タスク!$AB$5:$AB$300,ROWS($A$7:A250)),タスク!$AB$5:$AB$300,0))),"")</f>
        <v/>
      </c>
      <c r="B250" s="53" t="str">
        <f>IFERROR(IF(SMALL(タスク!$AB$5:$AB$300,ROWS($A$7:A250))&gt;=1000000000000,"",INDEX(タスク!B$5:B$300,MATCH(SMALL(タスク!$AB$5:$AB$300,ROWS($A$7:A250)),タスク!$AB$5:$AB$300,0))),"")</f>
        <v/>
      </c>
      <c r="C250" s="53" t="str">
        <f>IFERROR(IF(SMALL(タスク!$AB$5:$AB$300,ROWS($A$7:A250))&gt;=1000000000000,"",INDEX(タスク!C$5:C$300,MATCH(SMALL(タスク!$AB$5:$AB$300,ROWS($A$7:A250)),タスク!$AB$5:$AB$300,0))),"")</f>
        <v/>
      </c>
      <c r="D250" s="53" t="str">
        <f>IFERROR(IF(SMALL(タスク!$AB$5:$AB$300,ROWS($A$7:A250))&gt;=1000000000000,"",INDEX(タスク!D$5:D$300,MATCH(SMALL(タスク!$AB$5:$AB$300,ROWS($A$7:A250)),タスク!$AB$5:$AB$300,0))),"")</f>
        <v/>
      </c>
      <c r="E250" s="53" t="str">
        <f>IFERROR(IF(SMALL(タスク!$AB$5:$AB$300,ROWS($A$7:A250))&gt;=1000000000000,"",INDEX(タスク!E$5:E$300,MATCH(SMALL(タスク!$AB$5:$AB$300,ROWS($A$7:A250)),タスク!$AB$5:$AB$300,0))),"")</f>
        <v/>
      </c>
      <c r="F250" s="53" t="str">
        <f>IFERROR(IF(SMALL(タスク!$AB$5:$AB$300,ROWS($A$7:A250))&gt;=1000000000000,"",INDEX(タスク!F$5:F$300,MATCH(SMALL(タスク!$AB$5:$AB$300,ROWS($A$7:A250)),タスク!$AB$5:$AB$300,0))),"")</f>
        <v/>
      </c>
      <c r="G250" s="53" t="str">
        <f>IFERROR(IF(SMALL(タスク!$AB$5:$AB$300,ROWS($A$7:A250))&gt;=1000000000000,"",INDEX(タスク!G$5:G$300,MATCH(SMALL(タスク!$AB$5:$AB$300,ROWS($A$7:A250)),タスク!$AB$5:$AB$300,0))),"")</f>
        <v/>
      </c>
      <c r="H250" s="53" t="str">
        <f>IFERROR(IF(SMALL(タスク!$AB$5:$AB$300,ROWS($A$7:A250))&gt;=1000000000000,"",INDEX(タスク!H$5:H$300,MATCH(SMALL(タスク!$AB$5:$AB$300,ROWS($A$7:A250)),タスク!$AB$5:$AB$300,0))),"")</f>
        <v/>
      </c>
      <c r="I250" s="53" t="str">
        <f>IFERROR(IF(SMALL(タスク!$AB$5:$AB$300,ROWS($A$7:A250))&gt;=1000000000000,"",INDEX(タスク!I$5:I$300,MATCH(SMALL(タスク!$AB$5:$AB$300,ROWS($A$7:A250)),タスク!$AB$5:$AB$300,0))),"")</f>
        <v/>
      </c>
      <c r="J250" s="53" t="str">
        <f>IFERROR(IF(SMALL(タスク!$AB$5:$AB$300,ROWS($A$7:A250))&gt;=1000000000000,"",INDEX(タスク!J$5:J$300,MATCH(SMALL(タスク!$AB$5:$AB$300,ROWS($A$7:A250)),タスク!$AB$5:$AB$300,0))),"")</f>
        <v/>
      </c>
    </row>
    <row r="251" spans="1:10">
      <c r="A251" s="53" t="str">
        <f>IFERROR(IF(SMALL(タスク!$AB$5:$AB$300,ROWS($A$7:A251))&gt;=1000000000000,"",INDEX(タスク!A$5:A$300,MATCH(SMALL(タスク!$AB$5:$AB$300,ROWS($A$7:A251)),タスク!$AB$5:$AB$300,0))),"")</f>
        <v/>
      </c>
      <c r="B251" s="53" t="str">
        <f>IFERROR(IF(SMALL(タスク!$AB$5:$AB$300,ROWS($A$7:A251))&gt;=1000000000000,"",INDEX(タスク!B$5:B$300,MATCH(SMALL(タスク!$AB$5:$AB$300,ROWS($A$7:A251)),タスク!$AB$5:$AB$300,0))),"")</f>
        <v/>
      </c>
      <c r="C251" s="53" t="str">
        <f>IFERROR(IF(SMALL(タスク!$AB$5:$AB$300,ROWS($A$7:A251))&gt;=1000000000000,"",INDEX(タスク!C$5:C$300,MATCH(SMALL(タスク!$AB$5:$AB$300,ROWS($A$7:A251)),タスク!$AB$5:$AB$300,0))),"")</f>
        <v/>
      </c>
      <c r="D251" s="53" t="str">
        <f>IFERROR(IF(SMALL(タスク!$AB$5:$AB$300,ROWS($A$7:A251))&gt;=1000000000000,"",INDEX(タスク!D$5:D$300,MATCH(SMALL(タスク!$AB$5:$AB$300,ROWS($A$7:A251)),タスク!$AB$5:$AB$300,0))),"")</f>
        <v/>
      </c>
      <c r="E251" s="53" t="str">
        <f>IFERROR(IF(SMALL(タスク!$AB$5:$AB$300,ROWS($A$7:A251))&gt;=1000000000000,"",INDEX(タスク!E$5:E$300,MATCH(SMALL(タスク!$AB$5:$AB$300,ROWS($A$7:A251)),タスク!$AB$5:$AB$300,0))),"")</f>
        <v/>
      </c>
      <c r="F251" s="53" t="str">
        <f>IFERROR(IF(SMALL(タスク!$AB$5:$AB$300,ROWS($A$7:A251))&gt;=1000000000000,"",INDEX(タスク!F$5:F$300,MATCH(SMALL(タスク!$AB$5:$AB$300,ROWS($A$7:A251)),タスク!$AB$5:$AB$300,0))),"")</f>
        <v/>
      </c>
      <c r="G251" s="53" t="str">
        <f>IFERROR(IF(SMALL(タスク!$AB$5:$AB$300,ROWS($A$7:A251))&gt;=1000000000000,"",INDEX(タスク!G$5:G$300,MATCH(SMALL(タスク!$AB$5:$AB$300,ROWS($A$7:A251)),タスク!$AB$5:$AB$300,0))),"")</f>
        <v/>
      </c>
      <c r="H251" s="53" t="str">
        <f>IFERROR(IF(SMALL(タスク!$AB$5:$AB$300,ROWS($A$7:A251))&gt;=1000000000000,"",INDEX(タスク!H$5:H$300,MATCH(SMALL(タスク!$AB$5:$AB$300,ROWS($A$7:A251)),タスク!$AB$5:$AB$300,0))),"")</f>
        <v/>
      </c>
      <c r="I251" s="53" t="str">
        <f>IFERROR(IF(SMALL(タスク!$AB$5:$AB$300,ROWS($A$7:A251))&gt;=1000000000000,"",INDEX(タスク!I$5:I$300,MATCH(SMALL(タスク!$AB$5:$AB$300,ROWS($A$7:A251)),タスク!$AB$5:$AB$300,0))),"")</f>
        <v/>
      </c>
      <c r="J251" s="53" t="str">
        <f>IFERROR(IF(SMALL(タスク!$AB$5:$AB$300,ROWS($A$7:A251))&gt;=1000000000000,"",INDEX(タスク!J$5:J$300,MATCH(SMALL(タスク!$AB$5:$AB$300,ROWS($A$7:A251)),タスク!$AB$5:$AB$300,0))),"")</f>
        <v/>
      </c>
    </row>
    <row r="252" spans="1:10">
      <c r="A252" s="53" t="str">
        <f>IFERROR(IF(SMALL(タスク!$AB$5:$AB$300,ROWS($A$7:A252))&gt;=1000000000000,"",INDEX(タスク!A$5:A$300,MATCH(SMALL(タスク!$AB$5:$AB$300,ROWS($A$7:A252)),タスク!$AB$5:$AB$300,0))),"")</f>
        <v/>
      </c>
      <c r="B252" s="53" t="str">
        <f>IFERROR(IF(SMALL(タスク!$AB$5:$AB$300,ROWS($A$7:A252))&gt;=1000000000000,"",INDEX(タスク!B$5:B$300,MATCH(SMALL(タスク!$AB$5:$AB$300,ROWS($A$7:A252)),タスク!$AB$5:$AB$300,0))),"")</f>
        <v/>
      </c>
      <c r="C252" s="53" t="str">
        <f>IFERROR(IF(SMALL(タスク!$AB$5:$AB$300,ROWS($A$7:A252))&gt;=1000000000000,"",INDEX(タスク!C$5:C$300,MATCH(SMALL(タスク!$AB$5:$AB$300,ROWS($A$7:A252)),タスク!$AB$5:$AB$300,0))),"")</f>
        <v/>
      </c>
      <c r="D252" s="53" t="str">
        <f>IFERROR(IF(SMALL(タスク!$AB$5:$AB$300,ROWS($A$7:A252))&gt;=1000000000000,"",INDEX(タスク!D$5:D$300,MATCH(SMALL(タスク!$AB$5:$AB$300,ROWS($A$7:A252)),タスク!$AB$5:$AB$300,0))),"")</f>
        <v/>
      </c>
      <c r="E252" s="53" t="str">
        <f>IFERROR(IF(SMALL(タスク!$AB$5:$AB$300,ROWS($A$7:A252))&gt;=1000000000000,"",INDEX(タスク!E$5:E$300,MATCH(SMALL(タスク!$AB$5:$AB$300,ROWS($A$7:A252)),タスク!$AB$5:$AB$300,0))),"")</f>
        <v/>
      </c>
      <c r="F252" s="53" t="str">
        <f>IFERROR(IF(SMALL(タスク!$AB$5:$AB$300,ROWS($A$7:A252))&gt;=1000000000000,"",INDEX(タスク!F$5:F$300,MATCH(SMALL(タスク!$AB$5:$AB$300,ROWS($A$7:A252)),タスク!$AB$5:$AB$300,0))),"")</f>
        <v/>
      </c>
      <c r="G252" s="53" t="str">
        <f>IFERROR(IF(SMALL(タスク!$AB$5:$AB$300,ROWS($A$7:A252))&gt;=1000000000000,"",INDEX(タスク!G$5:G$300,MATCH(SMALL(タスク!$AB$5:$AB$300,ROWS($A$7:A252)),タスク!$AB$5:$AB$300,0))),"")</f>
        <v/>
      </c>
      <c r="H252" s="53" t="str">
        <f>IFERROR(IF(SMALL(タスク!$AB$5:$AB$300,ROWS($A$7:A252))&gt;=1000000000000,"",INDEX(タスク!H$5:H$300,MATCH(SMALL(タスク!$AB$5:$AB$300,ROWS($A$7:A252)),タスク!$AB$5:$AB$300,0))),"")</f>
        <v/>
      </c>
      <c r="I252" s="53" t="str">
        <f>IFERROR(IF(SMALL(タスク!$AB$5:$AB$300,ROWS($A$7:A252))&gt;=1000000000000,"",INDEX(タスク!I$5:I$300,MATCH(SMALL(タスク!$AB$5:$AB$300,ROWS($A$7:A252)),タスク!$AB$5:$AB$300,0))),"")</f>
        <v/>
      </c>
      <c r="J252" s="53" t="str">
        <f>IFERROR(IF(SMALL(タスク!$AB$5:$AB$300,ROWS($A$7:A252))&gt;=1000000000000,"",INDEX(タスク!J$5:J$300,MATCH(SMALL(タスク!$AB$5:$AB$300,ROWS($A$7:A252)),タスク!$AB$5:$AB$300,0))),"")</f>
        <v/>
      </c>
    </row>
    <row r="253" spans="1:10">
      <c r="A253" s="53" t="str">
        <f>IFERROR(IF(SMALL(タスク!$AB$5:$AB$300,ROWS($A$7:A253))&gt;=1000000000000,"",INDEX(タスク!A$5:A$300,MATCH(SMALL(タスク!$AB$5:$AB$300,ROWS($A$7:A253)),タスク!$AB$5:$AB$300,0))),"")</f>
        <v/>
      </c>
      <c r="B253" s="53" t="str">
        <f>IFERROR(IF(SMALL(タスク!$AB$5:$AB$300,ROWS($A$7:A253))&gt;=1000000000000,"",INDEX(タスク!B$5:B$300,MATCH(SMALL(タスク!$AB$5:$AB$300,ROWS($A$7:A253)),タスク!$AB$5:$AB$300,0))),"")</f>
        <v/>
      </c>
      <c r="C253" s="53" t="str">
        <f>IFERROR(IF(SMALL(タスク!$AB$5:$AB$300,ROWS($A$7:A253))&gt;=1000000000000,"",INDEX(タスク!C$5:C$300,MATCH(SMALL(タスク!$AB$5:$AB$300,ROWS($A$7:A253)),タスク!$AB$5:$AB$300,0))),"")</f>
        <v/>
      </c>
      <c r="D253" s="53" t="str">
        <f>IFERROR(IF(SMALL(タスク!$AB$5:$AB$300,ROWS($A$7:A253))&gt;=1000000000000,"",INDEX(タスク!D$5:D$300,MATCH(SMALL(タスク!$AB$5:$AB$300,ROWS($A$7:A253)),タスク!$AB$5:$AB$300,0))),"")</f>
        <v/>
      </c>
      <c r="E253" s="53" t="str">
        <f>IFERROR(IF(SMALL(タスク!$AB$5:$AB$300,ROWS($A$7:A253))&gt;=1000000000000,"",INDEX(タスク!E$5:E$300,MATCH(SMALL(タスク!$AB$5:$AB$300,ROWS($A$7:A253)),タスク!$AB$5:$AB$300,0))),"")</f>
        <v/>
      </c>
      <c r="F253" s="53" t="str">
        <f>IFERROR(IF(SMALL(タスク!$AB$5:$AB$300,ROWS($A$7:A253))&gt;=1000000000000,"",INDEX(タスク!F$5:F$300,MATCH(SMALL(タスク!$AB$5:$AB$300,ROWS($A$7:A253)),タスク!$AB$5:$AB$300,0))),"")</f>
        <v/>
      </c>
      <c r="G253" s="53" t="str">
        <f>IFERROR(IF(SMALL(タスク!$AB$5:$AB$300,ROWS($A$7:A253))&gt;=1000000000000,"",INDEX(タスク!G$5:G$300,MATCH(SMALL(タスク!$AB$5:$AB$300,ROWS($A$7:A253)),タスク!$AB$5:$AB$300,0))),"")</f>
        <v/>
      </c>
      <c r="H253" s="53" t="str">
        <f>IFERROR(IF(SMALL(タスク!$AB$5:$AB$300,ROWS($A$7:A253))&gt;=1000000000000,"",INDEX(タスク!H$5:H$300,MATCH(SMALL(タスク!$AB$5:$AB$300,ROWS($A$7:A253)),タスク!$AB$5:$AB$300,0))),"")</f>
        <v/>
      </c>
      <c r="I253" s="53" t="str">
        <f>IFERROR(IF(SMALL(タスク!$AB$5:$AB$300,ROWS($A$7:A253))&gt;=1000000000000,"",INDEX(タスク!I$5:I$300,MATCH(SMALL(タスク!$AB$5:$AB$300,ROWS($A$7:A253)),タスク!$AB$5:$AB$300,0))),"")</f>
        <v/>
      </c>
      <c r="J253" s="53" t="str">
        <f>IFERROR(IF(SMALL(タスク!$AB$5:$AB$300,ROWS($A$7:A253))&gt;=1000000000000,"",INDEX(タスク!J$5:J$300,MATCH(SMALL(タスク!$AB$5:$AB$300,ROWS($A$7:A253)),タスク!$AB$5:$AB$300,0))),"")</f>
        <v/>
      </c>
    </row>
    <row r="254" spans="1:10">
      <c r="A254" s="53" t="str">
        <f>IFERROR(IF(SMALL(タスク!$AB$5:$AB$300,ROWS($A$7:A254))&gt;=1000000000000,"",INDEX(タスク!A$5:A$300,MATCH(SMALL(タスク!$AB$5:$AB$300,ROWS($A$7:A254)),タスク!$AB$5:$AB$300,0))),"")</f>
        <v/>
      </c>
      <c r="B254" s="53" t="str">
        <f>IFERROR(IF(SMALL(タスク!$AB$5:$AB$300,ROWS($A$7:A254))&gt;=1000000000000,"",INDEX(タスク!B$5:B$300,MATCH(SMALL(タスク!$AB$5:$AB$300,ROWS($A$7:A254)),タスク!$AB$5:$AB$300,0))),"")</f>
        <v/>
      </c>
      <c r="C254" s="53" t="str">
        <f>IFERROR(IF(SMALL(タスク!$AB$5:$AB$300,ROWS($A$7:A254))&gt;=1000000000000,"",INDEX(タスク!C$5:C$300,MATCH(SMALL(タスク!$AB$5:$AB$300,ROWS($A$7:A254)),タスク!$AB$5:$AB$300,0))),"")</f>
        <v/>
      </c>
      <c r="D254" s="53" t="str">
        <f>IFERROR(IF(SMALL(タスク!$AB$5:$AB$300,ROWS($A$7:A254))&gt;=1000000000000,"",INDEX(タスク!D$5:D$300,MATCH(SMALL(タスク!$AB$5:$AB$300,ROWS($A$7:A254)),タスク!$AB$5:$AB$300,0))),"")</f>
        <v/>
      </c>
      <c r="E254" s="53" t="str">
        <f>IFERROR(IF(SMALL(タスク!$AB$5:$AB$300,ROWS($A$7:A254))&gt;=1000000000000,"",INDEX(タスク!E$5:E$300,MATCH(SMALL(タスク!$AB$5:$AB$300,ROWS($A$7:A254)),タスク!$AB$5:$AB$300,0))),"")</f>
        <v/>
      </c>
      <c r="F254" s="53" t="str">
        <f>IFERROR(IF(SMALL(タスク!$AB$5:$AB$300,ROWS($A$7:A254))&gt;=1000000000000,"",INDEX(タスク!F$5:F$300,MATCH(SMALL(タスク!$AB$5:$AB$300,ROWS($A$7:A254)),タスク!$AB$5:$AB$300,0))),"")</f>
        <v/>
      </c>
      <c r="G254" s="53" t="str">
        <f>IFERROR(IF(SMALL(タスク!$AB$5:$AB$300,ROWS($A$7:A254))&gt;=1000000000000,"",INDEX(タスク!G$5:G$300,MATCH(SMALL(タスク!$AB$5:$AB$300,ROWS($A$7:A254)),タスク!$AB$5:$AB$300,0))),"")</f>
        <v/>
      </c>
      <c r="H254" s="53" t="str">
        <f>IFERROR(IF(SMALL(タスク!$AB$5:$AB$300,ROWS($A$7:A254))&gt;=1000000000000,"",INDEX(タスク!H$5:H$300,MATCH(SMALL(タスク!$AB$5:$AB$300,ROWS($A$7:A254)),タスク!$AB$5:$AB$300,0))),"")</f>
        <v/>
      </c>
      <c r="I254" s="53" t="str">
        <f>IFERROR(IF(SMALL(タスク!$AB$5:$AB$300,ROWS($A$7:A254))&gt;=1000000000000,"",INDEX(タスク!I$5:I$300,MATCH(SMALL(タスク!$AB$5:$AB$300,ROWS($A$7:A254)),タスク!$AB$5:$AB$300,0))),"")</f>
        <v/>
      </c>
      <c r="J254" s="53" t="str">
        <f>IFERROR(IF(SMALL(タスク!$AB$5:$AB$300,ROWS($A$7:A254))&gt;=1000000000000,"",INDEX(タスク!J$5:J$300,MATCH(SMALL(タスク!$AB$5:$AB$300,ROWS($A$7:A254)),タスク!$AB$5:$AB$300,0))),"")</f>
        <v/>
      </c>
    </row>
    <row r="255" spans="1:10">
      <c r="A255" s="53" t="str">
        <f>IFERROR(IF(SMALL(タスク!$AB$5:$AB$300,ROWS($A$7:A255))&gt;=1000000000000,"",INDEX(タスク!A$5:A$300,MATCH(SMALL(タスク!$AB$5:$AB$300,ROWS($A$7:A255)),タスク!$AB$5:$AB$300,0))),"")</f>
        <v/>
      </c>
      <c r="B255" s="53" t="str">
        <f>IFERROR(IF(SMALL(タスク!$AB$5:$AB$300,ROWS($A$7:A255))&gt;=1000000000000,"",INDEX(タスク!B$5:B$300,MATCH(SMALL(タスク!$AB$5:$AB$300,ROWS($A$7:A255)),タスク!$AB$5:$AB$300,0))),"")</f>
        <v/>
      </c>
      <c r="C255" s="53" t="str">
        <f>IFERROR(IF(SMALL(タスク!$AB$5:$AB$300,ROWS($A$7:A255))&gt;=1000000000000,"",INDEX(タスク!C$5:C$300,MATCH(SMALL(タスク!$AB$5:$AB$300,ROWS($A$7:A255)),タスク!$AB$5:$AB$300,0))),"")</f>
        <v/>
      </c>
      <c r="D255" s="53" t="str">
        <f>IFERROR(IF(SMALL(タスク!$AB$5:$AB$300,ROWS($A$7:A255))&gt;=1000000000000,"",INDEX(タスク!D$5:D$300,MATCH(SMALL(タスク!$AB$5:$AB$300,ROWS($A$7:A255)),タスク!$AB$5:$AB$300,0))),"")</f>
        <v/>
      </c>
      <c r="E255" s="53" t="str">
        <f>IFERROR(IF(SMALL(タスク!$AB$5:$AB$300,ROWS($A$7:A255))&gt;=1000000000000,"",INDEX(タスク!E$5:E$300,MATCH(SMALL(タスク!$AB$5:$AB$300,ROWS($A$7:A255)),タスク!$AB$5:$AB$300,0))),"")</f>
        <v/>
      </c>
      <c r="F255" s="53" t="str">
        <f>IFERROR(IF(SMALL(タスク!$AB$5:$AB$300,ROWS($A$7:A255))&gt;=1000000000000,"",INDEX(タスク!F$5:F$300,MATCH(SMALL(タスク!$AB$5:$AB$300,ROWS($A$7:A255)),タスク!$AB$5:$AB$300,0))),"")</f>
        <v/>
      </c>
      <c r="G255" s="53" t="str">
        <f>IFERROR(IF(SMALL(タスク!$AB$5:$AB$300,ROWS($A$7:A255))&gt;=1000000000000,"",INDEX(タスク!G$5:G$300,MATCH(SMALL(タスク!$AB$5:$AB$300,ROWS($A$7:A255)),タスク!$AB$5:$AB$300,0))),"")</f>
        <v/>
      </c>
      <c r="H255" s="53" t="str">
        <f>IFERROR(IF(SMALL(タスク!$AB$5:$AB$300,ROWS($A$7:A255))&gt;=1000000000000,"",INDEX(タスク!H$5:H$300,MATCH(SMALL(タスク!$AB$5:$AB$300,ROWS($A$7:A255)),タスク!$AB$5:$AB$300,0))),"")</f>
        <v/>
      </c>
      <c r="I255" s="53" t="str">
        <f>IFERROR(IF(SMALL(タスク!$AB$5:$AB$300,ROWS($A$7:A255))&gt;=1000000000000,"",INDEX(タスク!I$5:I$300,MATCH(SMALL(タスク!$AB$5:$AB$300,ROWS($A$7:A255)),タスク!$AB$5:$AB$300,0))),"")</f>
        <v/>
      </c>
      <c r="J255" s="53" t="str">
        <f>IFERROR(IF(SMALL(タスク!$AB$5:$AB$300,ROWS($A$7:A255))&gt;=1000000000000,"",INDEX(タスク!J$5:J$300,MATCH(SMALL(タスク!$AB$5:$AB$300,ROWS($A$7:A255)),タスク!$AB$5:$AB$300,0))),"")</f>
        <v/>
      </c>
    </row>
    <row r="256" spans="1:10">
      <c r="A256" s="53" t="str">
        <f>IFERROR(IF(SMALL(タスク!$AB$5:$AB$300,ROWS($A$7:A256))&gt;=1000000000000,"",INDEX(タスク!A$5:A$300,MATCH(SMALL(タスク!$AB$5:$AB$300,ROWS($A$7:A256)),タスク!$AB$5:$AB$300,0))),"")</f>
        <v/>
      </c>
      <c r="B256" s="53" t="str">
        <f>IFERROR(IF(SMALL(タスク!$AB$5:$AB$300,ROWS($A$7:A256))&gt;=1000000000000,"",INDEX(タスク!B$5:B$300,MATCH(SMALL(タスク!$AB$5:$AB$300,ROWS($A$7:A256)),タスク!$AB$5:$AB$300,0))),"")</f>
        <v/>
      </c>
      <c r="C256" s="53" t="str">
        <f>IFERROR(IF(SMALL(タスク!$AB$5:$AB$300,ROWS($A$7:A256))&gt;=1000000000000,"",INDEX(タスク!C$5:C$300,MATCH(SMALL(タスク!$AB$5:$AB$300,ROWS($A$7:A256)),タスク!$AB$5:$AB$300,0))),"")</f>
        <v/>
      </c>
      <c r="D256" s="53" t="str">
        <f>IFERROR(IF(SMALL(タスク!$AB$5:$AB$300,ROWS($A$7:A256))&gt;=1000000000000,"",INDEX(タスク!D$5:D$300,MATCH(SMALL(タスク!$AB$5:$AB$300,ROWS($A$7:A256)),タスク!$AB$5:$AB$300,0))),"")</f>
        <v/>
      </c>
      <c r="E256" s="53" t="str">
        <f>IFERROR(IF(SMALL(タスク!$AB$5:$AB$300,ROWS($A$7:A256))&gt;=1000000000000,"",INDEX(タスク!E$5:E$300,MATCH(SMALL(タスク!$AB$5:$AB$300,ROWS($A$7:A256)),タスク!$AB$5:$AB$300,0))),"")</f>
        <v/>
      </c>
      <c r="F256" s="53" t="str">
        <f>IFERROR(IF(SMALL(タスク!$AB$5:$AB$300,ROWS($A$7:A256))&gt;=1000000000000,"",INDEX(タスク!F$5:F$300,MATCH(SMALL(タスク!$AB$5:$AB$300,ROWS($A$7:A256)),タスク!$AB$5:$AB$300,0))),"")</f>
        <v/>
      </c>
      <c r="G256" s="53" t="str">
        <f>IFERROR(IF(SMALL(タスク!$AB$5:$AB$300,ROWS($A$7:A256))&gt;=1000000000000,"",INDEX(タスク!G$5:G$300,MATCH(SMALL(タスク!$AB$5:$AB$300,ROWS($A$7:A256)),タスク!$AB$5:$AB$300,0))),"")</f>
        <v/>
      </c>
      <c r="H256" s="53" t="str">
        <f>IFERROR(IF(SMALL(タスク!$AB$5:$AB$300,ROWS($A$7:A256))&gt;=1000000000000,"",INDEX(タスク!H$5:H$300,MATCH(SMALL(タスク!$AB$5:$AB$300,ROWS($A$7:A256)),タスク!$AB$5:$AB$300,0))),"")</f>
        <v/>
      </c>
      <c r="I256" s="53" t="str">
        <f>IFERROR(IF(SMALL(タスク!$AB$5:$AB$300,ROWS($A$7:A256))&gt;=1000000000000,"",INDEX(タスク!I$5:I$300,MATCH(SMALL(タスク!$AB$5:$AB$300,ROWS($A$7:A256)),タスク!$AB$5:$AB$300,0))),"")</f>
        <v/>
      </c>
      <c r="J256" s="53" t="str">
        <f>IFERROR(IF(SMALL(タスク!$AB$5:$AB$300,ROWS($A$7:A256))&gt;=1000000000000,"",INDEX(タスク!J$5:J$300,MATCH(SMALL(タスク!$AB$5:$AB$300,ROWS($A$7:A256)),タスク!$AB$5:$AB$300,0))),"")</f>
        <v/>
      </c>
    </row>
    <row r="257" spans="1:10">
      <c r="A257" s="53" t="str">
        <f>IFERROR(IF(SMALL(タスク!$AB$5:$AB$300,ROWS($A$7:A257))&gt;=1000000000000,"",INDEX(タスク!A$5:A$300,MATCH(SMALL(タスク!$AB$5:$AB$300,ROWS($A$7:A257)),タスク!$AB$5:$AB$300,0))),"")</f>
        <v/>
      </c>
      <c r="B257" s="53" t="str">
        <f>IFERROR(IF(SMALL(タスク!$AB$5:$AB$300,ROWS($A$7:A257))&gt;=1000000000000,"",INDEX(タスク!B$5:B$300,MATCH(SMALL(タスク!$AB$5:$AB$300,ROWS($A$7:A257)),タスク!$AB$5:$AB$300,0))),"")</f>
        <v/>
      </c>
      <c r="C257" s="53" t="str">
        <f>IFERROR(IF(SMALL(タスク!$AB$5:$AB$300,ROWS($A$7:A257))&gt;=1000000000000,"",INDEX(タスク!C$5:C$300,MATCH(SMALL(タスク!$AB$5:$AB$300,ROWS($A$7:A257)),タスク!$AB$5:$AB$300,0))),"")</f>
        <v/>
      </c>
      <c r="D257" s="53" t="str">
        <f>IFERROR(IF(SMALL(タスク!$AB$5:$AB$300,ROWS($A$7:A257))&gt;=1000000000000,"",INDEX(タスク!D$5:D$300,MATCH(SMALL(タスク!$AB$5:$AB$300,ROWS($A$7:A257)),タスク!$AB$5:$AB$300,0))),"")</f>
        <v/>
      </c>
      <c r="E257" s="53" t="str">
        <f>IFERROR(IF(SMALL(タスク!$AB$5:$AB$300,ROWS($A$7:A257))&gt;=1000000000000,"",INDEX(タスク!E$5:E$300,MATCH(SMALL(タスク!$AB$5:$AB$300,ROWS($A$7:A257)),タスク!$AB$5:$AB$300,0))),"")</f>
        <v/>
      </c>
      <c r="F257" s="53" t="str">
        <f>IFERROR(IF(SMALL(タスク!$AB$5:$AB$300,ROWS($A$7:A257))&gt;=1000000000000,"",INDEX(タスク!F$5:F$300,MATCH(SMALL(タスク!$AB$5:$AB$300,ROWS($A$7:A257)),タスク!$AB$5:$AB$300,0))),"")</f>
        <v/>
      </c>
      <c r="G257" s="53" t="str">
        <f>IFERROR(IF(SMALL(タスク!$AB$5:$AB$300,ROWS($A$7:A257))&gt;=1000000000000,"",INDEX(タスク!G$5:G$300,MATCH(SMALL(タスク!$AB$5:$AB$300,ROWS($A$7:A257)),タスク!$AB$5:$AB$300,0))),"")</f>
        <v/>
      </c>
      <c r="H257" s="53" t="str">
        <f>IFERROR(IF(SMALL(タスク!$AB$5:$AB$300,ROWS($A$7:A257))&gt;=1000000000000,"",INDEX(タスク!H$5:H$300,MATCH(SMALL(タスク!$AB$5:$AB$300,ROWS($A$7:A257)),タスク!$AB$5:$AB$300,0))),"")</f>
        <v/>
      </c>
      <c r="I257" s="53" t="str">
        <f>IFERROR(IF(SMALL(タスク!$AB$5:$AB$300,ROWS($A$7:A257))&gt;=1000000000000,"",INDEX(タスク!I$5:I$300,MATCH(SMALL(タスク!$AB$5:$AB$300,ROWS($A$7:A257)),タスク!$AB$5:$AB$300,0))),"")</f>
        <v/>
      </c>
      <c r="J257" s="53" t="str">
        <f>IFERROR(IF(SMALL(タスク!$AB$5:$AB$300,ROWS($A$7:A257))&gt;=1000000000000,"",INDEX(タスク!J$5:J$300,MATCH(SMALL(タスク!$AB$5:$AB$300,ROWS($A$7:A257)),タスク!$AB$5:$AB$300,0))),"")</f>
        <v/>
      </c>
    </row>
    <row r="258" spans="1:10">
      <c r="A258" s="53" t="str">
        <f>IFERROR(IF(SMALL(タスク!$AB$5:$AB$300,ROWS($A$7:A258))&gt;=1000000000000,"",INDEX(タスク!A$5:A$300,MATCH(SMALL(タスク!$AB$5:$AB$300,ROWS($A$7:A258)),タスク!$AB$5:$AB$300,0))),"")</f>
        <v/>
      </c>
      <c r="B258" s="53" t="str">
        <f>IFERROR(IF(SMALL(タスク!$AB$5:$AB$300,ROWS($A$7:A258))&gt;=1000000000000,"",INDEX(タスク!B$5:B$300,MATCH(SMALL(タスク!$AB$5:$AB$300,ROWS($A$7:A258)),タスク!$AB$5:$AB$300,0))),"")</f>
        <v/>
      </c>
      <c r="C258" s="53" t="str">
        <f>IFERROR(IF(SMALL(タスク!$AB$5:$AB$300,ROWS($A$7:A258))&gt;=1000000000000,"",INDEX(タスク!C$5:C$300,MATCH(SMALL(タスク!$AB$5:$AB$300,ROWS($A$7:A258)),タスク!$AB$5:$AB$300,0))),"")</f>
        <v/>
      </c>
      <c r="D258" s="53" t="str">
        <f>IFERROR(IF(SMALL(タスク!$AB$5:$AB$300,ROWS($A$7:A258))&gt;=1000000000000,"",INDEX(タスク!D$5:D$300,MATCH(SMALL(タスク!$AB$5:$AB$300,ROWS($A$7:A258)),タスク!$AB$5:$AB$300,0))),"")</f>
        <v/>
      </c>
      <c r="E258" s="53" t="str">
        <f>IFERROR(IF(SMALL(タスク!$AB$5:$AB$300,ROWS($A$7:A258))&gt;=1000000000000,"",INDEX(タスク!E$5:E$300,MATCH(SMALL(タスク!$AB$5:$AB$300,ROWS($A$7:A258)),タスク!$AB$5:$AB$300,0))),"")</f>
        <v/>
      </c>
      <c r="F258" s="53" t="str">
        <f>IFERROR(IF(SMALL(タスク!$AB$5:$AB$300,ROWS($A$7:A258))&gt;=1000000000000,"",INDEX(タスク!F$5:F$300,MATCH(SMALL(タスク!$AB$5:$AB$300,ROWS($A$7:A258)),タスク!$AB$5:$AB$300,0))),"")</f>
        <v/>
      </c>
      <c r="G258" s="53" t="str">
        <f>IFERROR(IF(SMALL(タスク!$AB$5:$AB$300,ROWS($A$7:A258))&gt;=1000000000000,"",INDEX(タスク!G$5:G$300,MATCH(SMALL(タスク!$AB$5:$AB$300,ROWS($A$7:A258)),タスク!$AB$5:$AB$300,0))),"")</f>
        <v/>
      </c>
      <c r="H258" s="53" t="str">
        <f>IFERROR(IF(SMALL(タスク!$AB$5:$AB$300,ROWS($A$7:A258))&gt;=1000000000000,"",INDEX(タスク!H$5:H$300,MATCH(SMALL(タスク!$AB$5:$AB$300,ROWS($A$7:A258)),タスク!$AB$5:$AB$300,0))),"")</f>
        <v/>
      </c>
      <c r="I258" s="53" t="str">
        <f>IFERROR(IF(SMALL(タスク!$AB$5:$AB$300,ROWS($A$7:A258))&gt;=1000000000000,"",INDEX(タスク!I$5:I$300,MATCH(SMALL(タスク!$AB$5:$AB$300,ROWS($A$7:A258)),タスク!$AB$5:$AB$300,0))),"")</f>
        <v/>
      </c>
      <c r="J258" s="53" t="str">
        <f>IFERROR(IF(SMALL(タスク!$AB$5:$AB$300,ROWS($A$7:A258))&gt;=1000000000000,"",INDEX(タスク!J$5:J$300,MATCH(SMALL(タスク!$AB$5:$AB$300,ROWS($A$7:A258)),タスク!$AB$5:$AB$300,0))),"")</f>
        <v/>
      </c>
    </row>
    <row r="259" spans="1:10">
      <c r="A259" s="53" t="str">
        <f>IFERROR(IF(SMALL(タスク!$AB$5:$AB$300,ROWS($A$7:A259))&gt;=1000000000000,"",INDEX(タスク!A$5:A$300,MATCH(SMALL(タスク!$AB$5:$AB$300,ROWS($A$7:A259)),タスク!$AB$5:$AB$300,0))),"")</f>
        <v/>
      </c>
      <c r="B259" s="53" t="str">
        <f>IFERROR(IF(SMALL(タスク!$AB$5:$AB$300,ROWS($A$7:A259))&gt;=1000000000000,"",INDEX(タスク!B$5:B$300,MATCH(SMALL(タスク!$AB$5:$AB$300,ROWS($A$7:A259)),タスク!$AB$5:$AB$300,0))),"")</f>
        <v/>
      </c>
      <c r="C259" s="53" t="str">
        <f>IFERROR(IF(SMALL(タスク!$AB$5:$AB$300,ROWS($A$7:A259))&gt;=1000000000000,"",INDEX(タスク!C$5:C$300,MATCH(SMALL(タスク!$AB$5:$AB$300,ROWS($A$7:A259)),タスク!$AB$5:$AB$300,0))),"")</f>
        <v/>
      </c>
      <c r="D259" s="53" t="str">
        <f>IFERROR(IF(SMALL(タスク!$AB$5:$AB$300,ROWS($A$7:A259))&gt;=1000000000000,"",INDEX(タスク!D$5:D$300,MATCH(SMALL(タスク!$AB$5:$AB$300,ROWS($A$7:A259)),タスク!$AB$5:$AB$300,0))),"")</f>
        <v/>
      </c>
      <c r="E259" s="53" t="str">
        <f>IFERROR(IF(SMALL(タスク!$AB$5:$AB$300,ROWS($A$7:A259))&gt;=1000000000000,"",INDEX(タスク!E$5:E$300,MATCH(SMALL(タスク!$AB$5:$AB$300,ROWS($A$7:A259)),タスク!$AB$5:$AB$300,0))),"")</f>
        <v/>
      </c>
      <c r="F259" s="53" t="str">
        <f>IFERROR(IF(SMALL(タスク!$AB$5:$AB$300,ROWS($A$7:A259))&gt;=1000000000000,"",INDEX(タスク!F$5:F$300,MATCH(SMALL(タスク!$AB$5:$AB$300,ROWS($A$7:A259)),タスク!$AB$5:$AB$300,0))),"")</f>
        <v/>
      </c>
      <c r="G259" s="53" t="str">
        <f>IFERROR(IF(SMALL(タスク!$AB$5:$AB$300,ROWS($A$7:A259))&gt;=1000000000000,"",INDEX(タスク!G$5:G$300,MATCH(SMALL(タスク!$AB$5:$AB$300,ROWS($A$7:A259)),タスク!$AB$5:$AB$300,0))),"")</f>
        <v/>
      </c>
      <c r="H259" s="53" t="str">
        <f>IFERROR(IF(SMALL(タスク!$AB$5:$AB$300,ROWS($A$7:A259))&gt;=1000000000000,"",INDEX(タスク!H$5:H$300,MATCH(SMALL(タスク!$AB$5:$AB$300,ROWS($A$7:A259)),タスク!$AB$5:$AB$300,0))),"")</f>
        <v/>
      </c>
      <c r="I259" s="53" t="str">
        <f>IFERROR(IF(SMALL(タスク!$AB$5:$AB$300,ROWS($A$7:A259))&gt;=1000000000000,"",INDEX(タスク!I$5:I$300,MATCH(SMALL(タスク!$AB$5:$AB$300,ROWS($A$7:A259)),タスク!$AB$5:$AB$300,0))),"")</f>
        <v/>
      </c>
      <c r="J259" s="53" t="str">
        <f>IFERROR(IF(SMALL(タスク!$AB$5:$AB$300,ROWS($A$7:A259))&gt;=1000000000000,"",INDEX(タスク!J$5:J$300,MATCH(SMALL(タスク!$AB$5:$AB$300,ROWS($A$7:A259)),タスク!$AB$5:$AB$300,0))),"")</f>
        <v/>
      </c>
    </row>
    <row r="260" spans="1:10">
      <c r="A260" s="53" t="str">
        <f>IFERROR(IF(SMALL(タスク!$AB$5:$AB$300,ROWS($A$7:A260))&gt;=1000000000000,"",INDEX(タスク!A$5:A$300,MATCH(SMALL(タスク!$AB$5:$AB$300,ROWS($A$7:A260)),タスク!$AB$5:$AB$300,0))),"")</f>
        <v/>
      </c>
      <c r="B260" s="53" t="str">
        <f>IFERROR(IF(SMALL(タスク!$AB$5:$AB$300,ROWS($A$7:A260))&gt;=1000000000000,"",INDEX(タスク!B$5:B$300,MATCH(SMALL(タスク!$AB$5:$AB$300,ROWS($A$7:A260)),タスク!$AB$5:$AB$300,0))),"")</f>
        <v/>
      </c>
      <c r="C260" s="53" t="str">
        <f>IFERROR(IF(SMALL(タスク!$AB$5:$AB$300,ROWS($A$7:A260))&gt;=1000000000000,"",INDEX(タスク!C$5:C$300,MATCH(SMALL(タスク!$AB$5:$AB$300,ROWS($A$7:A260)),タスク!$AB$5:$AB$300,0))),"")</f>
        <v/>
      </c>
      <c r="D260" s="53" t="str">
        <f>IFERROR(IF(SMALL(タスク!$AB$5:$AB$300,ROWS($A$7:A260))&gt;=1000000000000,"",INDEX(タスク!D$5:D$300,MATCH(SMALL(タスク!$AB$5:$AB$300,ROWS($A$7:A260)),タスク!$AB$5:$AB$300,0))),"")</f>
        <v/>
      </c>
      <c r="E260" s="53" t="str">
        <f>IFERROR(IF(SMALL(タスク!$AB$5:$AB$300,ROWS($A$7:A260))&gt;=1000000000000,"",INDEX(タスク!E$5:E$300,MATCH(SMALL(タスク!$AB$5:$AB$300,ROWS($A$7:A260)),タスク!$AB$5:$AB$300,0))),"")</f>
        <v/>
      </c>
      <c r="F260" s="53" t="str">
        <f>IFERROR(IF(SMALL(タスク!$AB$5:$AB$300,ROWS($A$7:A260))&gt;=1000000000000,"",INDEX(タスク!F$5:F$300,MATCH(SMALL(タスク!$AB$5:$AB$300,ROWS($A$7:A260)),タスク!$AB$5:$AB$300,0))),"")</f>
        <v/>
      </c>
      <c r="G260" s="53" t="str">
        <f>IFERROR(IF(SMALL(タスク!$AB$5:$AB$300,ROWS($A$7:A260))&gt;=1000000000000,"",INDEX(タスク!G$5:G$300,MATCH(SMALL(タスク!$AB$5:$AB$300,ROWS($A$7:A260)),タスク!$AB$5:$AB$300,0))),"")</f>
        <v/>
      </c>
      <c r="H260" s="53" t="str">
        <f>IFERROR(IF(SMALL(タスク!$AB$5:$AB$300,ROWS($A$7:A260))&gt;=1000000000000,"",INDEX(タスク!H$5:H$300,MATCH(SMALL(タスク!$AB$5:$AB$300,ROWS($A$7:A260)),タスク!$AB$5:$AB$300,0))),"")</f>
        <v/>
      </c>
      <c r="I260" s="53" t="str">
        <f>IFERROR(IF(SMALL(タスク!$AB$5:$AB$300,ROWS($A$7:A260))&gt;=1000000000000,"",INDEX(タスク!I$5:I$300,MATCH(SMALL(タスク!$AB$5:$AB$300,ROWS($A$7:A260)),タスク!$AB$5:$AB$300,0))),"")</f>
        <v/>
      </c>
      <c r="J260" s="53" t="str">
        <f>IFERROR(IF(SMALL(タスク!$AB$5:$AB$300,ROWS($A$7:A260))&gt;=1000000000000,"",INDEX(タスク!J$5:J$300,MATCH(SMALL(タスク!$AB$5:$AB$300,ROWS($A$7:A260)),タスク!$AB$5:$AB$300,0))),"")</f>
        <v/>
      </c>
    </row>
    <row r="261" spans="1:10">
      <c r="A261" s="53" t="str">
        <f>IFERROR(IF(SMALL(タスク!$AB$5:$AB$300,ROWS($A$7:A261))&gt;=1000000000000,"",INDEX(タスク!A$5:A$300,MATCH(SMALL(タスク!$AB$5:$AB$300,ROWS($A$7:A261)),タスク!$AB$5:$AB$300,0))),"")</f>
        <v/>
      </c>
      <c r="B261" s="53" t="str">
        <f>IFERROR(IF(SMALL(タスク!$AB$5:$AB$300,ROWS($A$7:A261))&gt;=1000000000000,"",INDEX(タスク!B$5:B$300,MATCH(SMALL(タスク!$AB$5:$AB$300,ROWS($A$7:A261)),タスク!$AB$5:$AB$300,0))),"")</f>
        <v/>
      </c>
      <c r="C261" s="53" t="str">
        <f>IFERROR(IF(SMALL(タスク!$AB$5:$AB$300,ROWS($A$7:A261))&gt;=1000000000000,"",INDEX(タスク!C$5:C$300,MATCH(SMALL(タスク!$AB$5:$AB$300,ROWS($A$7:A261)),タスク!$AB$5:$AB$300,0))),"")</f>
        <v/>
      </c>
      <c r="D261" s="53" t="str">
        <f>IFERROR(IF(SMALL(タスク!$AB$5:$AB$300,ROWS($A$7:A261))&gt;=1000000000000,"",INDEX(タスク!D$5:D$300,MATCH(SMALL(タスク!$AB$5:$AB$300,ROWS($A$7:A261)),タスク!$AB$5:$AB$300,0))),"")</f>
        <v/>
      </c>
      <c r="E261" s="53" t="str">
        <f>IFERROR(IF(SMALL(タスク!$AB$5:$AB$300,ROWS($A$7:A261))&gt;=1000000000000,"",INDEX(タスク!E$5:E$300,MATCH(SMALL(タスク!$AB$5:$AB$300,ROWS($A$7:A261)),タスク!$AB$5:$AB$300,0))),"")</f>
        <v/>
      </c>
      <c r="F261" s="53" t="str">
        <f>IFERROR(IF(SMALL(タスク!$AB$5:$AB$300,ROWS($A$7:A261))&gt;=1000000000000,"",INDEX(タスク!F$5:F$300,MATCH(SMALL(タスク!$AB$5:$AB$300,ROWS($A$7:A261)),タスク!$AB$5:$AB$300,0))),"")</f>
        <v/>
      </c>
      <c r="G261" s="53" t="str">
        <f>IFERROR(IF(SMALL(タスク!$AB$5:$AB$300,ROWS($A$7:A261))&gt;=1000000000000,"",INDEX(タスク!G$5:G$300,MATCH(SMALL(タスク!$AB$5:$AB$300,ROWS($A$7:A261)),タスク!$AB$5:$AB$300,0))),"")</f>
        <v/>
      </c>
      <c r="H261" s="53" t="str">
        <f>IFERROR(IF(SMALL(タスク!$AB$5:$AB$300,ROWS($A$7:A261))&gt;=1000000000000,"",INDEX(タスク!H$5:H$300,MATCH(SMALL(タスク!$AB$5:$AB$300,ROWS($A$7:A261)),タスク!$AB$5:$AB$300,0))),"")</f>
        <v/>
      </c>
      <c r="I261" s="53" t="str">
        <f>IFERROR(IF(SMALL(タスク!$AB$5:$AB$300,ROWS($A$7:A261))&gt;=1000000000000,"",INDEX(タスク!I$5:I$300,MATCH(SMALL(タスク!$AB$5:$AB$300,ROWS($A$7:A261)),タスク!$AB$5:$AB$300,0))),"")</f>
        <v/>
      </c>
      <c r="J261" s="53" t="str">
        <f>IFERROR(IF(SMALL(タスク!$AB$5:$AB$300,ROWS($A$7:A261))&gt;=1000000000000,"",INDEX(タスク!J$5:J$300,MATCH(SMALL(タスク!$AB$5:$AB$300,ROWS($A$7:A261)),タスク!$AB$5:$AB$300,0))),"")</f>
        <v/>
      </c>
    </row>
    <row r="262" spans="1:10">
      <c r="A262" s="53" t="str">
        <f>IFERROR(IF(SMALL(タスク!$AB$5:$AB$300,ROWS($A$7:A262))&gt;=1000000000000,"",INDEX(タスク!A$5:A$300,MATCH(SMALL(タスク!$AB$5:$AB$300,ROWS($A$7:A262)),タスク!$AB$5:$AB$300,0))),"")</f>
        <v/>
      </c>
      <c r="B262" s="53" t="str">
        <f>IFERROR(IF(SMALL(タスク!$AB$5:$AB$300,ROWS($A$7:A262))&gt;=1000000000000,"",INDEX(タスク!B$5:B$300,MATCH(SMALL(タスク!$AB$5:$AB$300,ROWS($A$7:A262)),タスク!$AB$5:$AB$300,0))),"")</f>
        <v/>
      </c>
      <c r="C262" s="53" t="str">
        <f>IFERROR(IF(SMALL(タスク!$AB$5:$AB$300,ROWS($A$7:A262))&gt;=1000000000000,"",INDEX(タスク!C$5:C$300,MATCH(SMALL(タスク!$AB$5:$AB$300,ROWS($A$7:A262)),タスク!$AB$5:$AB$300,0))),"")</f>
        <v/>
      </c>
      <c r="D262" s="53" t="str">
        <f>IFERROR(IF(SMALL(タスク!$AB$5:$AB$300,ROWS($A$7:A262))&gt;=1000000000000,"",INDEX(タスク!D$5:D$300,MATCH(SMALL(タスク!$AB$5:$AB$300,ROWS($A$7:A262)),タスク!$AB$5:$AB$300,0))),"")</f>
        <v/>
      </c>
      <c r="E262" s="53" t="str">
        <f>IFERROR(IF(SMALL(タスク!$AB$5:$AB$300,ROWS($A$7:A262))&gt;=1000000000000,"",INDEX(タスク!E$5:E$300,MATCH(SMALL(タスク!$AB$5:$AB$300,ROWS($A$7:A262)),タスク!$AB$5:$AB$300,0))),"")</f>
        <v/>
      </c>
      <c r="F262" s="53" t="str">
        <f>IFERROR(IF(SMALL(タスク!$AB$5:$AB$300,ROWS($A$7:A262))&gt;=1000000000000,"",INDEX(タスク!F$5:F$300,MATCH(SMALL(タスク!$AB$5:$AB$300,ROWS($A$7:A262)),タスク!$AB$5:$AB$300,0))),"")</f>
        <v/>
      </c>
      <c r="G262" s="53" t="str">
        <f>IFERROR(IF(SMALL(タスク!$AB$5:$AB$300,ROWS($A$7:A262))&gt;=1000000000000,"",INDEX(タスク!G$5:G$300,MATCH(SMALL(タスク!$AB$5:$AB$300,ROWS($A$7:A262)),タスク!$AB$5:$AB$300,0))),"")</f>
        <v/>
      </c>
      <c r="H262" s="53" t="str">
        <f>IFERROR(IF(SMALL(タスク!$AB$5:$AB$300,ROWS($A$7:A262))&gt;=1000000000000,"",INDEX(タスク!H$5:H$300,MATCH(SMALL(タスク!$AB$5:$AB$300,ROWS($A$7:A262)),タスク!$AB$5:$AB$300,0))),"")</f>
        <v/>
      </c>
      <c r="I262" s="53" t="str">
        <f>IFERROR(IF(SMALL(タスク!$AB$5:$AB$300,ROWS($A$7:A262))&gt;=1000000000000,"",INDEX(タスク!I$5:I$300,MATCH(SMALL(タスク!$AB$5:$AB$300,ROWS($A$7:A262)),タスク!$AB$5:$AB$300,0))),"")</f>
        <v/>
      </c>
      <c r="J262" s="53" t="str">
        <f>IFERROR(IF(SMALL(タスク!$AB$5:$AB$300,ROWS($A$7:A262))&gt;=1000000000000,"",INDEX(タスク!J$5:J$300,MATCH(SMALL(タスク!$AB$5:$AB$300,ROWS($A$7:A262)),タスク!$AB$5:$AB$300,0))),"")</f>
        <v/>
      </c>
    </row>
    <row r="263" spans="1:10">
      <c r="A263" s="53" t="str">
        <f>IFERROR(IF(SMALL(タスク!$AB$5:$AB$300,ROWS($A$7:A263))&gt;=1000000000000,"",INDEX(タスク!A$5:A$300,MATCH(SMALL(タスク!$AB$5:$AB$300,ROWS($A$7:A263)),タスク!$AB$5:$AB$300,0))),"")</f>
        <v/>
      </c>
      <c r="B263" s="53" t="str">
        <f>IFERROR(IF(SMALL(タスク!$AB$5:$AB$300,ROWS($A$7:A263))&gt;=1000000000000,"",INDEX(タスク!B$5:B$300,MATCH(SMALL(タスク!$AB$5:$AB$300,ROWS($A$7:A263)),タスク!$AB$5:$AB$300,0))),"")</f>
        <v/>
      </c>
      <c r="C263" s="53" t="str">
        <f>IFERROR(IF(SMALL(タスク!$AB$5:$AB$300,ROWS($A$7:A263))&gt;=1000000000000,"",INDEX(タスク!C$5:C$300,MATCH(SMALL(タスク!$AB$5:$AB$300,ROWS($A$7:A263)),タスク!$AB$5:$AB$300,0))),"")</f>
        <v/>
      </c>
      <c r="D263" s="53" t="str">
        <f>IFERROR(IF(SMALL(タスク!$AB$5:$AB$300,ROWS($A$7:A263))&gt;=1000000000000,"",INDEX(タスク!D$5:D$300,MATCH(SMALL(タスク!$AB$5:$AB$300,ROWS($A$7:A263)),タスク!$AB$5:$AB$300,0))),"")</f>
        <v/>
      </c>
      <c r="E263" s="53" t="str">
        <f>IFERROR(IF(SMALL(タスク!$AB$5:$AB$300,ROWS($A$7:A263))&gt;=1000000000000,"",INDEX(タスク!E$5:E$300,MATCH(SMALL(タスク!$AB$5:$AB$300,ROWS($A$7:A263)),タスク!$AB$5:$AB$300,0))),"")</f>
        <v/>
      </c>
      <c r="F263" s="53" t="str">
        <f>IFERROR(IF(SMALL(タスク!$AB$5:$AB$300,ROWS($A$7:A263))&gt;=1000000000000,"",INDEX(タスク!F$5:F$300,MATCH(SMALL(タスク!$AB$5:$AB$300,ROWS($A$7:A263)),タスク!$AB$5:$AB$300,0))),"")</f>
        <v/>
      </c>
      <c r="G263" s="53" t="str">
        <f>IFERROR(IF(SMALL(タスク!$AB$5:$AB$300,ROWS($A$7:A263))&gt;=1000000000000,"",INDEX(タスク!G$5:G$300,MATCH(SMALL(タスク!$AB$5:$AB$300,ROWS($A$7:A263)),タスク!$AB$5:$AB$300,0))),"")</f>
        <v/>
      </c>
      <c r="H263" s="53" t="str">
        <f>IFERROR(IF(SMALL(タスク!$AB$5:$AB$300,ROWS($A$7:A263))&gt;=1000000000000,"",INDEX(タスク!H$5:H$300,MATCH(SMALL(タスク!$AB$5:$AB$300,ROWS($A$7:A263)),タスク!$AB$5:$AB$300,0))),"")</f>
        <v/>
      </c>
      <c r="I263" s="53" t="str">
        <f>IFERROR(IF(SMALL(タスク!$AB$5:$AB$300,ROWS($A$7:A263))&gt;=1000000000000,"",INDEX(タスク!I$5:I$300,MATCH(SMALL(タスク!$AB$5:$AB$300,ROWS($A$7:A263)),タスク!$AB$5:$AB$300,0))),"")</f>
        <v/>
      </c>
      <c r="J263" s="53" t="str">
        <f>IFERROR(IF(SMALL(タスク!$AB$5:$AB$300,ROWS($A$7:A263))&gt;=1000000000000,"",INDEX(タスク!J$5:J$300,MATCH(SMALL(タスク!$AB$5:$AB$300,ROWS($A$7:A263)),タスク!$AB$5:$AB$300,0))),"")</f>
        <v/>
      </c>
    </row>
    <row r="264" spans="1:10">
      <c r="A264" s="53" t="str">
        <f>IFERROR(IF(SMALL(タスク!$AB$5:$AB$300,ROWS($A$7:A264))&gt;=1000000000000,"",INDEX(タスク!A$5:A$300,MATCH(SMALL(タスク!$AB$5:$AB$300,ROWS($A$7:A264)),タスク!$AB$5:$AB$300,0))),"")</f>
        <v/>
      </c>
      <c r="B264" s="53" t="str">
        <f>IFERROR(IF(SMALL(タスク!$AB$5:$AB$300,ROWS($A$7:A264))&gt;=1000000000000,"",INDEX(タスク!B$5:B$300,MATCH(SMALL(タスク!$AB$5:$AB$300,ROWS($A$7:A264)),タスク!$AB$5:$AB$300,0))),"")</f>
        <v/>
      </c>
      <c r="C264" s="53" t="str">
        <f>IFERROR(IF(SMALL(タスク!$AB$5:$AB$300,ROWS($A$7:A264))&gt;=1000000000000,"",INDEX(タスク!C$5:C$300,MATCH(SMALL(タスク!$AB$5:$AB$300,ROWS($A$7:A264)),タスク!$AB$5:$AB$300,0))),"")</f>
        <v/>
      </c>
      <c r="D264" s="53" t="str">
        <f>IFERROR(IF(SMALL(タスク!$AB$5:$AB$300,ROWS($A$7:A264))&gt;=1000000000000,"",INDEX(タスク!D$5:D$300,MATCH(SMALL(タスク!$AB$5:$AB$300,ROWS($A$7:A264)),タスク!$AB$5:$AB$300,0))),"")</f>
        <v/>
      </c>
      <c r="E264" s="53" t="str">
        <f>IFERROR(IF(SMALL(タスク!$AB$5:$AB$300,ROWS($A$7:A264))&gt;=1000000000000,"",INDEX(タスク!E$5:E$300,MATCH(SMALL(タスク!$AB$5:$AB$300,ROWS($A$7:A264)),タスク!$AB$5:$AB$300,0))),"")</f>
        <v/>
      </c>
      <c r="F264" s="53" t="str">
        <f>IFERROR(IF(SMALL(タスク!$AB$5:$AB$300,ROWS($A$7:A264))&gt;=1000000000000,"",INDEX(タスク!F$5:F$300,MATCH(SMALL(タスク!$AB$5:$AB$300,ROWS($A$7:A264)),タスク!$AB$5:$AB$300,0))),"")</f>
        <v/>
      </c>
      <c r="G264" s="53" t="str">
        <f>IFERROR(IF(SMALL(タスク!$AB$5:$AB$300,ROWS($A$7:A264))&gt;=1000000000000,"",INDEX(タスク!G$5:G$300,MATCH(SMALL(タスク!$AB$5:$AB$300,ROWS($A$7:A264)),タスク!$AB$5:$AB$300,0))),"")</f>
        <v/>
      </c>
      <c r="H264" s="53" t="str">
        <f>IFERROR(IF(SMALL(タスク!$AB$5:$AB$300,ROWS($A$7:A264))&gt;=1000000000000,"",INDEX(タスク!H$5:H$300,MATCH(SMALL(タスク!$AB$5:$AB$300,ROWS($A$7:A264)),タスク!$AB$5:$AB$300,0))),"")</f>
        <v/>
      </c>
      <c r="I264" s="53" t="str">
        <f>IFERROR(IF(SMALL(タスク!$AB$5:$AB$300,ROWS($A$7:A264))&gt;=1000000000000,"",INDEX(タスク!I$5:I$300,MATCH(SMALL(タスク!$AB$5:$AB$300,ROWS($A$7:A264)),タスク!$AB$5:$AB$300,0))),"")</f>
        <v/>
      </c>
      <c r="J264" s="53" t="str">
        <f>IFERROR(IF(SMALL(タスク!$AB$5:$AB$300,ROWS($A$7:A264))&gt;=1000000000000,"",INDEX(タスク!J$5:J$300,MATCH(SMALL(タスク!$AB$5:$AB$300,ROWS($A$7:A264)),タスク!$AB$5:$AB$300,0))),"")</f>
        <v/>
      </c>
    </row>
    <row r="265" spans="1:10">
      <c r="A265" s="53" t="str">
        <f>IFERROR(IF(SMALL(タスク!$AB$5:$AB$300,ROWS($A$7:A265))&gt;=1000000000000,"",INDEX(タスク!A$5:A$300,MATCH(SMALL(タスク!$AB$5:$AB$300,ROWS($A$7:A265)),タスク!$AB$5:$AB$300,0))),"")</f>
        <v/>
      </c>
      <c r="B265" s="53" t="str">
        <f>IFERROR(IF(SMALL(タスク!$AB$5:$AB$300,ROWS($A$7:A265))&gt;=1000000000000,"",INDEX(タスク!B$5:B$300,MATCH(SMALL(タスク!$AB$5:$AB$300,ROWS($A$7:A265)),タスク!$AB$5:$AB$300,0))),"")</f>
        <v/>
      </c>
      <c r="C265" s="53" t="str">
        <f>IFERROR(IF(SMALL(タスク!$AB$5:$AB$300,ROWS($A$7:A265))&gt;=1000000000000,"",INDEX(タスク!C$5:C$300,MATCH(SMALL(タスク!$AB$5:$AB$300,ROWS($A$7:A265)),タスク!$AB$5:$AB$300,0))),"")</f>
        <v/>
      </c>
      <c r="D265" s="53" t="str">
        <f>IFERROR(IF(SMALL(タスク!$AB$5:$AB$300,ROWS($A$7:A265))&gt;=1000000000000,"",INDEX(タスク!D$5:D$300,MATCH(SMALL(タスク!$AB$5:$AB$300,ROWS($A$7:A265)),タスク!$AB$5:$AB$300,0))),"")</f>
        <v/>
      </c>
      <c r="E265" s="53" t="str">
        <f>IFERROR(IF(SMALL(タスク!$AB$5:$AB$300,ROWS($A$7:A265))&gt;=1000000000000,"",INDEX(タスク!E$5:E$300,MATCH(SMALL(タスク!$AB$5:$AB$300,ROWS($A$7:A265)),タスク!$AB$5:$AB$300,0))),"")</f>
        <v/>
      </c>
      <c r="F265" s="53" t="str">
        <f>IFERROR(IF(SMALL(タスク!$AB$5:$AB$300,ROWS($A$7:A265))&gt;=1000000000000,"",INDEX(タスク!F$5:F$300,MATCH(SMALL(タスク!$AB$5:$AB$300,ROWS($A$7:A265)),タスク!$AB$5:$AB$300,0))),"")</f>
        <v/>
      </c>
      <c r="G265" s="53" t="str">
        <f>IFERROR(IF(SMALL(タスク!$AB$5:$AB$300,ROWS($A$7:A265))&gt;=1000000000000,"",INDEX(タスク!G$5:G$300,MATCH(SMALL(タスク!$AB$5:$AB$300,ROWS($A$7:A265)),タスク!$AB$5:$AB$300,0))),"")</f>
        <v/>
      </c>
      <c r="H265" s="53" t="str">
        <f>IFERROR(IF(SMALL(タスク!$AB$5:$AB$300,ROWS($A$7:A265))&gt;=1000000000000,"",INDEX(タスク!H$5:H$300,MATCH(SMALL(タスク!$AB$5:$AB$300,ROWS($A$7:A265)),タスク!$AB$5:$AB$300,0))),"")</f>
        <v/>
      </c>
      <c r="I265" s="53" t="str">
        <f>IFERROR(IF(SMALL(タスク!$AB$5:$AB$300,ROWS($A$7:A265))&gt;=1000000000000,"",INDEX(タスク!I$5:I$300,MATCH(SMALL(タスク!$AB$5:$AB$300,ROWS($A$7:A265)),タスク!$AB$5:$AB$300,0))),"")</f>
        <v/>
      </c>
      <c r="J265" s="53" t="str">
        <f>IFERROR(IF(SMALL(タスク!$AB$5:$AB$300,ROWS($A$7:A265))&gt;=1000000000000,"",INDEX(タスク!J$5:J$300,MATCH(SMALL(タスク!$AB$5:$AB$300,ROWS($A$7:A265)),タスク!$AB$5:$AB$300,0))),"")</f>
        <v/>
      </c>
    </row>
    <row r="266" spans="1:10">
      <c r="A266" s="53" t="str">
        <f>IFERROR(IF(SMALL(タスク!$AB$5:$AB$300,ROWS($A$7:A266))&gt;=1000000000000,"",INDEX(タスク!A$5:A$300,MATCH(SMALL(タスク!$AB$5:$AB$300,ROWS($A$7:A266)),タスク!$AB$5:$AB$300,0))),"")</f>
        <v/>
      </c>
      <c r="B266" s="53" t="str">
        <f>IFERROR(IF(SMALL(タスク!$AB$5:$AB$300,ROWS($A$7:A266))&gt;=1000000000000,"",INDEX(タスク!B$5:B$300,MATCH(SMALL(タスク!$AB$5:$AB$300,ROWS($A$7:A266)),タスク!$AB$5:$AB$300,0))),"")</f>
        <v/>
      </c>
      <c r="C266" s="53" t="str">
        <f>IFERROR(IF(SMALL(タスク!$AB$5:$AB$300,ROWS($A$7:A266))&gt;=1000000000000,"",INDEX(タスク!C$5:C$300,MATCH(SMALL(タスク!$AB$5:$AB$300,ROWS($A$7:A266)),タスク!$AB$5:$AB$300,0))),"")</f>
        <v/>
      </c>
      <c r="D266" s="53" t="str">
        <f>IFERROR(IF(SMALL(タスク!$AB$5:$AB$300,ROWS($A$7:A266))&gt;=1000000000000,"",INDEX(タスク!D$5:D$300,MATCH(SMALL(タスク!$AB$5:$AB$300,ROWS($A$7:A266)),タスク!$AB$5:$AB$300,0))),"")</f>
        <v/>
      </c>
      <c r="E266" s="53" t="str">
        <f>IFERROR(IF(SMALL(タスク!$AB$5:$AB$300,ROWS($A$7:A266))&gt;=1000000000000,"",INDEX(タスク!E$5:E$300,MATCH(SMALL(タスク!$AB$5:$AB$300,ROWS($A$7:A266)),タスク!$AB$5:$AB$300,0))),"")</f>
        <v/>
      </c>
      <c r="F266" s="53" t="str">
        <f>IFERROR(IF(SMALL(タスク!$AB$5:$AB$300,ROWS($A$7:A266))&gt;=1000000000000,"",INDEX(タスク!F$5:F$300,MATCH(SMALL(タスク!$AB$5:$AB$300,ROWS($A$7:A266)),タスク!$AB$5:$AB$300,0))),"")</f>
        <v/>
      </c>
      <c r="G266" s="53" t="str">
        <f>IFERROR(IF(SMALL(タスク!$AB$5:$AB$300,ROWS($A$7:A266))&gt;=1000000000000,"",INDEX(タスク!G$5:G$300,MATCH(SMALL(タスク!$AB$5:$AB$300,ROWS($A$7:A266)),タスク!$AB$5:$AB$300,0))),"")</f>
        <v/>
      </c>
      <c r="H266" s="53" t="str">
        <f>IFERROR(IF(SMALL(タスク!$AB$5:$AB$300,ROWS($A$7:A266))&gt;=1000000000000,"",INDEX(タスク!H$5:H$300,MATCH(SMALL(タスク!$AB$5:$AB$300,ROWS($A$7:A266)),タスク!$AB$5:$AB$300,0))),"")</f>
        <v/>
      </c>
      <c r="I266" s="53" t="str">
        <f>IFERROR(IF(SMALL(タスク!$AB$5:$AB$300,ROWS($A$7:A266))&gt;=1000000000000,"",INDEX(タスク!I$5:I$300,MATCH(SMALL(タスク!$AB$5:$AB$300,ROWS($A$7:A266)),タスク!$AB$5:$AB$300,0))),"")</f>
        <v/>
      </c>
      <c r="J266" s="53" t="str">
        <f>IFERROR(IF(SMALL(タスク!$AB$5:$AB$300,ROWS($A$7:A266))&gt;=1000000000000,"",INDEX(タスク!J$5:J$300,MATCH(SMALL(タスク!$AB$5:$AB$300,ROWS($A$7:A266)),タスク!$AB$5:$AB$300,0))),"")</f>
        <v/>
      </c>
    </row>
    <row r="267" spans="1:10">
      <c r="A267" s="53" t="str">
        <f>IFERROR(IF(SMALL(タスク!$AB$5:$AB$300,ROWS($A$7:A267))&gt;=1000000000000,"",INDEX(タスク!A$5:A$300,MATCH(SMALL(タスク!$AB$5:$AB$300,ROWS($A$7:A267)),タスク!$AB$5:$AB$300,0))),"")</f>
        <v/>
      </c>
      <c r="B267" s="53" t="str">
        <f>IFERROR(IF(SMALL(タスク!$AB$5:$AB$300,ROWS($A$7:A267))&gt;=1000000000000,"",INDEX(タスク!B$5:B$300,MATCH(SMALL(タスク!$AB$5:$AB$300,ROWS($A$7:A267)),タスク!$AB$5:$AB$300,0))),"")</f>
        <v/>
      </c>
      <c r="C267" s="53" t="str">
        <f>IFERROR(IF(SMALL(タスク!$AB$5:$AB$300,ROWS($A$7:A267))&gt;=1000000000000,"",INDEX(タスク!C$5:C$300,MATCH(SMALL(タスク!$AB$5:$AB$300,ROWS($A$7:A267)),タスク!$AB$5:$AB$300,0))),"")</f>
        <v/>
      </c>
      <c r="D267" s="53" t="str">
        <f>IFERROR(IF(SMALL(タスク!$AB$5:$AB$300,ROWS($A$7:A267))&gt;=1000000000000,"",INDEX(タスク!D$5:D$300,MATCH(SMALL(タスク!$AB$5:$AB$300,ROWS($A$7:A267)),タスク!$AB$5:$AB$300,0))),"")</f>
        <v/>
      </c>
      <c r="E267" s="53" t="str">
        <f>IFERROR(IF(SMALL(タスク!$AB$5:$AB$300,ROWS($A$7:A267))&gt;=1000000000000,"",INDEX(タスク!E$5:E$300,MATCH(SMALL(タスク!$AB$5:$AB$300,ROWS($A$7:A267)),タスク!$AB$5:$AB$300,0))),"")</f>
        <v/>
      </c>
      <c r="F267" s="53" t="str">
        <f>IFERROR(IF(SMALL(タスク!$AB$5:$AB$300,ROWS($A$7:A267))&gt;=1000000000000,"",INDEX(タスク!F$5:F$300,MATCH(SMALL(タスク!$AB$5:$AB$300,ROWS($A$7:A267)),タスク!$AB$5:$AB$300,0))),"")</f>
        <v/>
      </c>
      <c r="G267" s="53" t="str">
        <f>IFERROR(IF(SMALL(タスク!$AB$5:$AB$300,ROWS($A$7:A267))&gt;=1000000000000,"",INDEX(タスク!G$5:G$300,MATCH(SMALL(タスク!$AB$5:$AB$300,ROWS($A$7:A267)),タスク!$AB$5:$AB$300,0))),"")</f>
        <v/>
      </c>
      <c r="H267" s="53" t="str">
        <f>IFERROR(IF(SMALL(タスク!$AB$5:$AB$300,ROWS($A$7:A267))&gt;=1000000000000,"",INDEX(タスク!H$5:H$300,MATCH(SMALL(タスク!$AB$5:$AB$300,ROWS($A$7:A267)),タスク!$AB$5:$AB$300,0))),"")</f>
        <v/>
      </c>
      <c r="I267" s="53" t="str">
        <f>IFERROR(IF(SMALL(タスク!$AB$5:$AB$300,ROWS($A$7:A267))&gt;=1000000000000,"",INDEX(タスク!I$5:I$300,MATCH(SMALL(タスク!$AB$5:$AB$300,ROWS($A$7:A267)),タスク!$AB$5:$AB$300,0))),"")</f>
        <v/>
      </c>
      <c r="J267" s="53" t="str">
        <f>IFERROR(IF(SMALL(タスク!$AB$5:$AB$300,ROWS($A$7:A267))&gt;=1000000000000,"",INDEX(タスク!J$5:J$300,MATCH(SMALL(タスク!$AB$5:$AB$300,ROWS($A$7:A267)),タスク!$AB$5:$AB$300,0))),"")</f>
        <v/>
      </c>
    </row>
    <row r="268" spans="1:10">
      <c r="A268" s="53" t="str">
        <f>IFERROR(IF(SMALL(タスク!$AB$5:$AB$300,ROWS($A$7:A268))&gt;=1000000000000,"",INDEX(タスク!A$5:A$300,MATCH(SMALL(タスク!$AB$5:$AB$300,ROWS($A$7:A268)),タスク!$AB$5:$AB$300,0))),"")</f>
        <v/>
      </c>
      <c r="B268" s="53" t="str">
        <f>IFERROR(IF(SMALL(タスク!$AB$5:$AB$300,ROWS($A$7:A268))&gt;=1000000000000,"",INDEX(タスク!B$5:B$300,MATCH(SMALL(タスク!$AB$5:$AB$300,ROWS($A$7:A268)),タスク!$AB$5:$AB$300,0))),"")</f>
        <v/>
      </c>
      <c r="C268" s="53" t="str">
        <f>IFERROR(IF(SMALL(タスク!$AB$5:$AB$300,ROWS($A$7:A268))&gt;=1000000000000,"",INDEX(タスク!C$5:C$300,MATCH(SMALL(タスク!$AB$5:$AB$300,ROWS($A$7:A268)),タスク!$AB$5:$AB$300,0))),"")</f>
        <v/>
      </c>
      <c r="D268" s="53" t="str">
        <f>IFERROR(IF(SMALL(タスク!$AB$5:$AB$300,ROWS($A$7:A268))&gt;=1000000000000,"",INDEX(タスク!D$5:D$300,MATCH(SMALL(タスク!$AB$5:$AB$300,ROWS($A$7:A268)),タスク!$AB$5:$AB$300,0))),"")</f>
        <v/>
      </c>
      <c r="E268" s="53" t="str">
        <f>IFERROR(IF(SMALL(タスク!$AB$5:$AB$300,ROWS($A$7:A268))&gt;=1000000000000,"",INDEX(タスク!E$5:E$300,MATCH(SMALL(タスク!$AB$5:$AB$300,ROWS($A$7:A268)),タスク!$AB$5:$AB$300,0))),"")</f>
        <v/>
      </c>
      <c r="F268" s="53" t="str">
        <f>IFERROR(IF(SMALL(タスク!$AB$5:$AB$300,ROWS($A$7:A268))&gt;=1000000000000,"",INDEX(タスク!F$5:F$300,MATCH(SMALL(タスク!$AB$5:$AB$300,ROWS($A$7:A268)),タスク!$AB$5:$AB$300,0))),"")</f>
        <v/>
      </c>
      <c r="G268" s="53" t="str">
        <f>IFERROR(IF(SMALL(タスク!$AB$5:$AB$300,ROWS($A$7:A268))&gt;=1000000000000,"",INDEX(タスク!G$5:G$300,MATCH(SMALL(タスク!$AB$5:$AB$300,ROWS($A$7:A268)),タスク!$AB$5:$AB$300,0))),"")</f>
        <v/>
      </c>
      <c r="H268" s="53" t="str">
        <f>IFERROR(IF(SMALL(タスク!$AB$5:$AB$300,ROWS($A$7:A268))&gt;=1000000000000,"",INDEX(タスク!H$5:H$300,MATCH(SMALL(タスク!$AB$5:$AB$300,ROWS($A$7:A268)),タスク!$AB$5:$AB$300,0))),"")</f>
        <v/>
      </c>
      <c r="I268" s="53" t="str">
        <f>IFERROR(IF(SMALL(タスク!$AB$5:$AB$300,ROWS($A$7:A268))&gt;=1000000000000,"",INDEX(タスク!I$5:I$300,MATCH(SMALL(タスク!$AB$5:$AB$300,ROWS($A$7:A268)),タスク!$AB$5:$AB$300,0))),"")</f>
        <v/>
      </c>
      <c r="J268" s="53" t="str">
        <f>IFERROR(IF(SMALL(タスク!$AB$5:$AB$300,ROWS($A$7:A268))&gt;=1000000000000,"",INDEX(タスク!J$5:J$300,MATCH(SMALL(タスク!$AB$5:$AB$300,ROWS($A$7:A268)),タスク!$AB$5:$AB$300,0))),"")</f>
        <v/>
      </c>
    </row>
    <row r="269" spans="1:10">
      <c r="A269" s="53" t="str">
        <f>IFERROR(IF(SMALL(タスク!$AB$5:$AB$300,ROWS($A$7:A269))&gt;=1000000000000,"",INDEX(タスク!A$5:A$300,MATCH(SMALL(タスク!$AB$5:$AB$300,ROWS($A$7:A269)),タスク!$AB$5:$AB$300,0))),"")</f>
        <v/>
      </c>
      <c r="B269" s="53" t="str">
        <f>IFERROR(IF(SMALL(タスク!$AB$5:$AB$300,ROWS($A$7:A269))&gt;=1000000000000,"",INDEX(タスク!B$5:B$300,MATCH(SMALL(タスク!$AB$5:$AB$300,ROWS($A$7:A269)),タスク!$AB$5:$AB$300,0))),"")</f>
        <v/>
      </c>
      <c r="C269" s="53" t="str">
        <f>IFERROR(IF(SMALL(タスク!$AB$5:$AB$300,ROWS($A$7:A269))&gt;=1000000000000,"",INDEX(タスク!C$5:C$300,MATCH(SMALL(タスク!$AB$5:$AB$300,ROWS($A$7:A269)),タスク!$AB$5:$AB$300,0))),"")</f>
        <v/>
      </c>
      <c r="D269" s="53" t="str">
        <f>IFERROR(IF(SMALL(タスク!$AB$5:$AB$300,ROWS($A$7:A269))&gt;=1000000000000,"",INDEX(タスク!D$5:D$300,MATCH(SMALL(タスク!$AB$5:$AB$300,ROWS($A$7:A269)),タスク!$AB$5:$AB$300,0))),"")</f>
        <v/>
      </c>
      <c r="E269" s="53" t="str">
        <f>IFERROR(IF(SMALL(タスク!$AB$5:$AB$300,ROWS($A$7:A269))&gt;=1000000000000,"",INDEX(タスク!E$5:E$300,MATCH(SMALL(タスク!$AB$5:$AB$300,ROWS($A$7:A269)),タスク!$AB$5:$AB$300,0))),"")</f>
        <v/>
      </c>
      <c r="F269" s="53" t="str">
        <f>IFERROR(IF(SMALL(タスク!$AB$5:$AB$300,ROWS($A$7:A269))&gt;=1000000000000,"",INDEX(タスク!F$5:F$300,MATCH(SMALL(タスク!$AB$5:$AB$300,ROWS($A$7:A269)),タスク!$AB$5:$AB$300,0))),"")</f>
        <v/>
      </c>
      <c r="G269" s="53" t="str">
        <f>IFERROR(IF(SMALL(タスク!$AB$5:$AB$300,ROWS($A$7:A269))&gt;=1000000000000,"",INDEX(タスク!G$5:G$300,MATCH(SMALL(タスク!$AB$5:$AB$300,ROWS($A$7:A269)),タスク!$AB$5:$AB$300,0))),"")</f>
        <v/>
      </c>
      <c r="H269" s="53" t="str">
        <f>IFERROR(IF(SMALL(タスク!$AB$5:$AB$300,ROWS($A$7:A269))&gt;=1000000000000,"",INDEX(タスク!H$5:H$300,MATCH(SMALL(タスク!$AB$5:$AB$300,ROWS($A$7:A269)),タスク!$AB$5:$AB$300,0))),"")</f>
        <v/>
      </c>
      <c r="I269" s="53" t="str">
        <f>IFERROR(IF(SMALL(タスク!$AB$5:$AB$300,ROWS($A$7:A269))&gt;=1000000000000,"",INDEX(タスク!I$5:I$300,MATCH(SMALL(タスク!$AB$5:$AB$300,ROWS($A$7:A269)),タスク!$AB$5:$AB$300,0))),"")</f>
        <v/>
      </c>
      <c r="J269" s="53" t="str">
        <f>IFERROR(IF(SMALL(タスク!$AB$5:$AB$300,ROWS($A$7:A269))&gt;=1000000000000,"",INDEX(タスク!J$5:J$300,MATCH(SMALL(タスク!$AB$5:$AB$300,ROWS($A$7:A269)),タスク!$AB$5:$AB$300,0))),"")</f>
        <v/>
      </c>
    </row>
    <row r="270" spans="1:10">
      <c r="A270" s="53" t="str">
        <f>IFERROR(IF(SMALL(タスク!$AB$5:$AB$300,ROWS($A$7:A270))&gt;=1000000000000,"",INDEX(タスク!A$5:A$300,MATCH(SMALL(タスク!$AB$5:$AB$300,ROWS($A$7:A270)),タスク!$AB$5:$AB$300,0))),"")</f>
        <v/>
      </c>
      <c r="B270" s="53" t="str">
        <f>IFERROR(IF(SMALL(タスク!$AB$5:$AB$300,ROWS($A$7:A270))&gt;=1000000000000,"",INDEX(タスク!B$5:B$300,MATCH(SMALL(タスク!$AB$5:$AB$300,ROWS($A$7:A270)),タスク!$AB$5:$AB$300,0))),"")</f>
        <v/>
      </c>
      <c r="C270" s="53" t="str">
        <f>IFERROR(IF(SMALL(タスク!$AB$5:$AB$300,ROWS($A$7:A270))&gt;=1000000000000,"",INDEX(タスク!C$5:C$300,MATCH(SMALL(タスク!$AB$5:$AB$300,ROWS($A$7:A270)),タスク!$AB$5:$AB$300,0))),"")</f>
        <v/>
      </c>
      <c r="D270" s="53" t="str">
        <f>IFERROR(IF(SMALL(タスク!$AB$5:$AB$300,ROWS($A$7:A270))&gt;=1000000000000,"",INDEX(タスク!D$5:D$300,MATCH(SMALL(タスク!$AB$5:$AB$300,ROWS($A$7:A270)),タスク!$AB$5:$AB$300,0))),"")</f>
        <v/>
      </c>
      <c r="E270" s="53" t="str">
        <f>IFERROR(IF(SMALL(タスク!$AB$5:$AB$300,ROWS($A$7:A270))&gt;=1000000000000,"",INDEX(タスク!E$5:E$300,MATCH(SMALL(タスク!$AB$5:$AB$300,ROWS($A$7:A270)),タスク!$AB$5:$AB$300,0))),"")</f>
        <v/>
      </c>
      <c r="F270" s="53" t="str">
        <f>IFERROR(IF(SMALL(タスク!$AB$5:$AB$300,ROWS($A$7:A270))&gt;=1000000000000,"",INDEX(タスク!F$5:F$300,MATCH(SMALL(タスク!$AB$5:$AB$300,ROWS($A$7:A270)),タスク!$AB$5:$AB$300,0))),"")</f>
        <v/>
      </c>
      <c r="G270" s="53" t="str">
        <f>IFERROR(IF(SMALL(タスク!$AB$5:$AB$300,ROWS($A$7:A270))&gt;=1000000000000,"",INDEX(タスク!G$5:G$300,MATCH(SMALL(タスク!$AB$5:$AB$300,ROWS($A$7:A270)),タスク!$AB$5:$AB$300,0))),"")</f>
        <v/>
      </c>
      <c r="H270" s="53" t="str">
        <f>IFERROR(IF(SMALL(タスク!$AB$5:$AB$300,ROWS($A$7:A270))&gt;=1000000000000,"",INDEX(タスク!H$5:H$300,MATCH(SMALL(タスク!$AB$5:$AB$300,ROWS($A$7:A270)),タスク!$AB$5:$AB$300,0))),"")</f>
        <v/>
      </c>
      <c r="I270" s="53" t="str">
        <f>IFERROR(IF(SMALL(タスク!$AB$5:$AB$300,ROWS($A$7:A270))&gt;=1000000000000,"",INDEX(タスク!I$5:I$300,MATCH(SMALL(タスク!$AB$5:$AB$300,ROWS($A$7:A270)),タスク!$AB$5:$AB$300,0))),"")</f>
        <v/>
      </c>
      <c r="J270" s="53" t="str">
        <f>IFERROR(IF(SMALL(タスク!$AB$5:$AB$300,ROWS($A$7:A270))&gt;=1000000000000,"",INDEX(タスク!J$5:J$300,MATCH(SMALL(タスク!$AB$5:$AB$300,ROWS($A$7:A270)),タスク!$AB$5:$AB$300,0))),"")</f>
        <v/>
      </c>
    </row>
    <row r="271" spans="1:10">
      <c r="A271" s="53" t="str">
        <f>IFERROR(IF(SMALL(タスク!$AB$5:$AB$300,ROWS($A$7:A271))&gt;=1000000000000,"",INDEX(タスク!A$5:A$300,MATCH(SMALL(タスク!$AB$5:$AB$300,ROWS($A$7:A271)),タスク!$AB$5:$AB$300,0))),"")</f>
        <v/>
      </c>
      <c r="B271" s="53" t="str">
        <f>IFERROR(IF(SMALL(タスク!$AB$5:$AB$300,ROWS($A$7:A271))&gt;=1000000000000,"",INDEX(タスク!B$5:B$300,MATCH(SMALL(タスク!$AB$5:$AB$300,ROWS($A$7:A271)),タスク!$AB$5:$AB$300,0))),"")</f>
        <v/>
      </c>
      <c r="C271" s="53" t="str">
        <f>IFERROR(IF(SMALL(タスク!$AB$5:$AB$300,ROWS($A$7:A271))&gt;=1000000000000,"",INDEX(タスク!C$5:C$300,MATCH(SMALL(タスク!$AB$5:$AB$300,ROWS($A$7:A271)),タスク!$AB$5:$AB$300,0))),"")</f>
        <v/>
      </c>
      <c r="D271" s="53" t="str">
        <f>IFERROR(IF(SMALL(タスク!$AB$5:$AB$300,ROWS($A$7:A271))&gt;=1000000000000,"",INDEX(タスク!D$5:D$300,MATCH(SMALL(タスク!$AB$5:$AB$300,ROWS($A$7:A271)),タスク!$AB$5:$AB$300,0))),"")</f>
        <v/>
      </c>
      <c r="E271" s="53" t="str">
        <f>IFERROR(IF(SMALL(タスク!$AB$5:$AB$300,ROWS($A$7:A271))&gt;=1000000000000,"",INDEX(タスク!E$5:E$300,MATCH(SMALL(タスク!$AB$5:$AB$300,ROWS($A$7:A271)),タスク!$AB$5:$AB$300,0))),"")</f>
        <v/>
      </c>
      <c r="F271" s="53" t="str">
        <f>IFERROR(IF(SMALL(タスク!$AB$5:$AB$300,ROWS($A$7:A271))&gt;=1000000000000,"",INDEX(タスク!F$5:F$300,MATCH(SMALL(タスク!$AB$5:$AB$300,ROWS($A$7:A271)),タスク!$AB$5:$AB$300,0))),"")</f>
        <v/>
      </c>
      <c r="G271" s="53" t="str">
        <f>IFERROR(IF(SMALL(タスク!$AB$5:$AB$300,ROWS($A$7:A271))&gt;=1000000000000,"",INDEX(タスク!G$5:G$300,MATCH(SMALL(タスク!$AB$5:$AB$300,ROWS($A$7:A271)),タスク!$AB$5:$AB$300,0))),"")</f>
        <v/>
      </c>
      <c r="H271" s="53" t="str">
        <f>IFERROR(IF(SMALL(タスク!$AB$5:$AB$300,ROWS($A$7:A271))&gt;=1000000000000,"",INDEX(タスク!H$5:H$300,MATCH(SMALL(タスク!$AB$5:$AB$300,ROWS($A$7:A271)),タスク!$AB$5:$AB$300,0))),"")</f>
        <v/>
      </c>
      <c r="I271" s="53" t="str">
        <f>IFERROR(IF(SMALL(タスク!$AB$5:$AB$300,ROWS($A$7:A271))&gt;=1000000000000,"",INDEX(タスク!I$5:I$300,MATCH(SMALL(タスク!$AB$5:$AB$300,ROWS($A$7:A271)),タスク!$AB$5:$AB$300,0))),"")</f>
        <v/>
      </c>
      <c r="J271" s="53" t="str">
        <f>IFERROR(IF(SMALL(タスク!$AB$5:$AB$300,ROWS($A$7:A271))&gt;=1000000000000,"",INDEX(タスク!J$5:J$300,MATCH(SMALL(タスク!$AB$5:$AB$300,ROWS($A$7:A271)),タスク!$AB$5:$AB$300,0))),"")</f>
        <v/>
      </c>
    </row>
    <row r="272" spans="1:10">
      <c r="A272" s="53" t="str">
        <f>IFERROR(IF(SMALL(タスク!$AB$5:$AB$300,ROWS($A$7:A272))&gt;=1000000000000,"",INDEX(タスク!A$5:A$300,MATCH(SMALL(タスク!$AB$5:$AB$300,ROWS($A$7:A272)),タスク!$AB$5:$AB$300,0))),"")</f>
        <v/>
      </c>
      <c r="B272" s="53" t="str">
        <f>IFERROR(IF(SMALL(タスク!$AB$5:$AB$300,ROWS($A$7:A272))&gt;=1000000000000,"",INDEX(タスク!B$5:B$300,MATCH(SMALL(タスク!$AB$5:$AB$300,ROWS($A$7:A272)),タスク!$AB$5:$AB$300,0))),"")</f>
        <v/>
      </c>
      <c r="C272" s="53" t="str">
        <f>IFERROR(IF(SMALL(タスク!$AB$5:$AB$300,ROWS($A$7:A272))&gt;=1000000000000,"",INDEX(タスク!C$5:C$300,MATCH(SMALL(タスク!$AB$5:$AB$300,ROWS($A$7:A272)),タスク!$AB$5:$AB$300,0))),"")</f>
        <v/>
      </c>
      <c r="D272" s="53" t="str">
        <f>IFERROR(IF(SMALL(タスク!$AB$5:$AB$300,ROWS($A$7:A272))&gt;=1000000000000,"",INDEX(タスク!D$5:D$300,MATCH(SMALL(タスク!$AB$5:$AB$300,ROWS($A$7:A272)),タスク!$AB$5:$AB$300,0))),"")</f>
        <v/>
      </c>
      <c r="E272" s="53" t="str">
        <f>IFERROR(IF(SMALL(タスク!$AB$5:$AB$300,ROWS($A$7:A272))&gt;=1000000000000,"",INDEX(タスク!E$5:E$300,MATCH(SMALL(タスク!$AB$5:$AB$300,ROWS($A$7:A272)),タスク!$AB$5:$AB$300,0))),"")</f>
        <v/>
      </c>
      <c r="F272" s="53" t="str">
        <f>IFERROR(IF(SMALL(タスク!$AB$5:$AB$300,ROWS($A$7:A272))&gt;=1000000000000,"",INDEX(タスク!F$5:F$300,MATCH(SMALL(タスク!$AB$5:$AB$300,ROWS($A$7:A272)),タスク!$AB$5:$AB$300,0))),"")</f>
        <v/>
      </c>
      <c r="G272" s="53" t="str">
        <f>IFERROR(IF(SMALL(タスク!$AB$5:$AB$300,ROWS($A$7:A272))&gt;=1000000000000,"",INDEX(タスク!G$5:G$300,MATCH(SMALL(タスク!$AB$5:$AB$300,ROWS($A$7:A272)),タスク!$AB$5:$AB$300,0))),"")</f>
        <v/>
      </c>
      <c r="H272" s="53" t="str">
        <f>IFERROR(IF(SMALL(タスク!$AB$5:$AB$300,ROWS($A$7:A272))&gt;=1000000000000,"",INDEX(タスク!H$5:H$300,MATCH(SMALL(タスク!$AB$5:$AB$300,ROWS($A$7:A272)),タスク!$AB$5:$AB$300,0))),"")</f>
        <v/>
      </c>
      <c r="I272" s="53" t="str">
        <f>IFERROR(IF(SMALL(タスク!$AB$5:$AB$300,ROWS($A$7:A272))&gt;=1000000000000,"",INDEX(タスク!I$5:I$300,MATCH(SMALL(タスク!$AB$5:$AB$300,ROWS($A$7:A272)),タスク!$AB$5:$AB$300,0))),"")</f>
        <v/>
      </c>
      <c r="J272" s="53" t="str">
        <f>IFERROR(IF(SMALL(タスク!$AB$5:$AB$300,ROWS($A$7:A272))&gt;=1000000000000,"",INDEX(タスク!J$5:J$300,MATCH(SMALL(タスク!$AB$5:$AB$300,ROWS($A$7:A272)),タスク!$AB$5:$AB$300,0))),"")</f>
        <v/>
      </c>
    </row>
    <row r="273" spans="1:10">
      <c r="A273" s="53" t="str">
        <f>IFERROR(IF(SMALL(タスク!$AB$5:$AB$300,ROWS($A$7:A273))&gt;=1000000000000,"",INDEX(タスク!A$5:A$300,MATCH(SMALL(タスク!$AB$5:$AB$300,ROWS($A$7:A273)),タスク!$AB$5:$AB$300,0))),"")</f>
        <v/>
      </c>
      <c r="B273" s="53" t="str">
        <f>IFERROR(IF(SMALL(タスク!$AB$5:$AB$300,ROWS($A$7:A273))&gt;=1000000000000,"",INDEX(タスク!B$5:B$300,MATCH(SMALL(タスク!$AB$5:$AB$300,ROWS($A$7:A273)),タスク!$AB$5:$AB$300,0))),"")</f>
        <v/>
      </c>
      <c r="C273" s="53" t="str">
        <f>IFERROR(IF(SMALL(タスク!$AB$5:$AB$300,ROWS($A$7:A273))&gt;=1000000000000,"",INDEX(タスク!C$5:C$300,MATCH(SMALL(タスク!$AB$5:$AB$300,ROWS($A$7:A273)),タスク!$AB$5:$AB$300,0))),"")</f>
        <v/>
      </c>
      <c r="D273" s="53" t="str">
        <f>IFERROR(IF(SMALL(タスク!$AB$5:$AB$300,ROWS($A$7:A273))&gt;=1000000000000,"",INDEX(タスク!D$5:D$300,MATCH(SMALL(タスク!$AB$5:$AB$300,ROWS($A$7:A273)),タスク!$AB$5:$AB$300,0))),"")</f>
        <v/>
      </c>
      <c r="E273" s="53" t="str">
        <f>IFERROR(IF(SMALL(タスク!$AB$5:$AB$300,ROWS($A$7:A273))&gt;=1000000000000,"",INDEX(タスク!E$5:E$300,MATCH(SMALL(タスク!$AB$5:$AB$300,ROWS($A$7:A273)),タスク!$AB$5:$AB$300,0))),"")</f>
        <v/>
      </c>
      <c r="F273" s="53" t="str">
        <f>IFERROR(IF(SMALL(タスク!$AB$5:$AB$300,ROWS($A$7:A273))&gt;=1000000000000,"",INDEX(タスク!F$5:F$300,MATCH(SMALL(タスク!$AB$5:$AB$300,ROWS($A$7:A273)),タスク!$AB$5:$AB$300,0))),"")</f>
        <v/>
      </c>
      <c r="G273" s="53" t="str">
        <f>IFERROR(IF(SMALL(タスク!$AB$5:$AB$300,ROWS($A$7:A273))&gt;=1000000000000,"",INDEX(タスク!G$5:G$300,MATCH(SMALL(タスク!$AB$5:$AB$300,ROWS($A$7:A273)),タスク!$AB$5:$AB$300,0))),"")</f>
        <v/>
      </c>
      <c r="H273" s="53" t="str">
        <f>IFERROR(IF(SMALL(タスク!$AB$5:$AB$300,ROWS($A$7:A273))&gt;=1000000000000,"",INDEX(タスク!H$5:H$300,MATCH(SMALL(タスク!$AB$5:$AB$300,ROWS($A$7:A273)),タスク!$AB$5:$AB$300,0))),"")</f>
        <v/>
      </c>
      <c r="I273" s="53" t="str">
        <f>IFERROR(IF(SMALL(タスク!$AB$5:$AB$300,ROWS($A$7:A273))&gt;=1000000000000,"",INDEX(タスク!I$5:I$300,MATCH(SMALL(タスク!$AB$5:$AB$300,ROWS($A$7:A273)),タスク!$AB$5:$AB$300,0))),"")</f>
        <v/>
      </c>
      <c r="J273" s="53" t="str">
        <f>IFERROR(IF(SMALL(タスク!$AB$5:$AB$300,ROWS($A$7:A273))&gt;=1000000000000,"",INDEX(タスク!J$5:J$300,MATCH(SMALL(タスク!$AB$5:$AB$300,ROWS($A$7:A273)),タスク!$AB$5:$AB$300,0))),"")</f>
        <v/>
      </c>
    </row>
    <row r="274" spans="1:10">
      <c r="A274" s="53" t="str">
        <f>IFERROR(IF(SMALL(タスク!$AB$5:$AB$300,ROWS($A$7:A274))&gt;=1000000000000,"",INDEX(タスク!A$5:A$300,MATCH(SMALL(タスク!$AB$5:$AB$300,ROWS($A$7:A274)),タスク!$AB$5:$AB$300,0))),"")</f>
        <v/>
      </c>
      <c r="B274" s="53" t="str">
        <f>IFERROR(IF(SMALL(タスク!$AB$5:$AB$300,ROWS($A$7:A274))&gt;=1000000000000,"",INDEX(タスク!B$5:B$300,MATCH(SMALL(タスク!$AB$5:$AB$300,ROWS($A$7:A274)),タスク!$AB$5:$AB$300,0))),"")</f>
        <v/>
      </c>
      <c r="C274" s="53" t="str">
        <f>IFERROR(IF(SMALL(タスク!$AB$5:$AB$300,ROWS($A$7:A274))&gt;=1000000000000,"",INDEX(タスク!C$5:C$300,MATCH(SMALL(タスク!$AB$5:$AB$300,ROWS($A$7:A274)),タスク!$AB$5:$AB$300,0))),"")</f>
        <v/>
      </c>
      <c r="D274" s="53" t="str">
        <f>IFERROR(IF(SMALL(タスク!$AB$5:$AB$300,ROWS($A$7:A274))&gt;=1000000000000,"",INDEX(タスク!D$5:D$300,MATCH(SMALL(タスク!$AB$5:$AB$300,ROWS($A$7:A274)),タスク!$AB$5:$AB$300,0))),"")</f>
        <v/>
      </c>
      <c r="E274" s="53" t="str">
        <f>IFERROR(IF(SMALL(タスク!$AB$5:$AB$300,ROWS($A$7:A274))&gt;=1000000000000,"",INDEX(タスク!E$5:E$300,MATCH(SMALL(タスク!$AB$5:$AB$300,ROWS($A$7:A274)),タスク!$AB$5:$AB$300,0))),"")</f>
        <v/>
      </c>
      <c r="F274" s="53" t="str">
        <f>IFERROR(IF(SMALL(タスク!$AB$5:$AB$300,ROWS($A$7:A274))&gt;=1000000000000,"",INDEX(タスク!F$5:F$300,MATCH(SMALL(タスク!$AB$5:$AB$300,ROWS($A$7:A274)),タスク!$AB$5:$AB$300,0))),"")</f>
        <v/>
      </c>
      <c r="G274" s="53" t="str">
        <f>IFERROR(IF(SMALL(タスク!$AB$5:$AB$300,ROWS($A$7:A274))&gt;=1000000000000,"",INDEX(タスク!G$5:G$300,MATCH(SMALL(タスク!$AB$5:$AB$300,ROWS($A$7:A274)),タスク!$AB$5:$AB$300,0))),"")</f>
        <v/>
      </c>
      <c r="H274" s="53" t="str">
        <f>IFERROR(IF(SMALL(タスク!$AB$5:$AB$300,ROWS($A$7:A274))&gt;=1000000000000,"",INDEX(タスク!H$5:H$300,MATCH(SMALL(タスク!$AB$5:$AB$300,ROWS($A$7:A274)),タスク!$AB$5:$AB$300,0))),"")</f>
        <v/>
      </c>
      <c r="I274" s="53" t="str">
        <f>IFERROR(IF(SMALL(タスク!$AB$5:$AB$300,ROWS($A$7:A274))&gt;=1000000000000,"",INDEX(タスク!I$5:I$300,MATCH(SMALL(タスク!$AB$5:$AB$300,ROWS($A$7:A274)),タスク!$AB$5:$AB$300,0))),"")</f>
        <v/>
      </c>
      <c r="J274" s="53" t="str">
        <f>IFERROR(IF(SMALL(タスク!$AB$5:$AB$300,ROWS($A$7:A274))&gt;=1000000000000,"",INDEX(タスク!J$5:J$300,MATCH(SMALL(タスク!$AB$5:$AB$300,ROWS($A$7:A274)),タスク!$AB$5:$AB$300,0))),"")</f>
        <v/>
      </c>
    </row>
    <row r="275" spans="1:10">
      <c r="A275" s="53" t="str">
        <f>IFERROR(IF(SMALL(タスク!$AB$5:$AB$300,ROWS($A$7:A275))&gt;=1000000000000,"",INDEX(タスク!A$5:A$300,MATCH(SMALL(タスク!$AB$5:$AB$300,ROWS($A$7:A275)),タスク!$AB$5:$AB$300,0))),"")</f>
        <v/>
      </c>
      <c r="B275" s="53" t="str">
        <f>IFERROR(IF(SMALL(タスク!$AB$5:$AB$300,ROWS($A$7:A275))&gt;=1000000000000,"",INDEX(タスク!B$5:B$300,MATCH(SMALL(タスク!$AB$5:$AB$300,ROWS($A$7:A275)),タスク!$AB$5:$AB$300,0))),"")</f>
        <v/>
      </c>
      <c r="C275" s="53" t="str">
        <f>IFERROR(IF(SMALL(タスク!$AB$5:$AB$300,ROWS($A$7:A275))&gt;=1000000000000,"",INDEX(タスク!C$5:C$300,MATCH(SMALL(タスク!$AB$5:$AB$300,ROWS($A$7:A275)),タスク!$AB$5:$AB$300,0))),"")</f>
        <v/>
      </c>
      <c r="D275" s="53" t="str">
        <f>IFERROR(IF(SMALL(タスク!$AB$5:$AB$300,ROWS($A$7:A275))&gt;=1000000000000,"",INDEX(タスク!D$5:D$300,MATCH(SMALL(タスク!$AB$5:$AB$300,ROWS($A$7:A275)),タスク!$AB$5:$AB$300,0))),"")</f>
        <v/>
      </c>
      <c r="E275" s="53" t="str">
        <f>IFERROR(IF(SMALL(タスク!$AB$5:$AB$300,ROWS($A$7:A275))&gt;=1000000000000,"",INDEX(タスク!E$5:E$300,MATCH(SMALL(タスク!$AB$5:$AB$300,ROWS($A$7:A275)),タスク!$AB$5:$AB$300,0))),"")</f>
        <v/>
      </c>
      <c r="F275" s="53" t="str">
        <f>IFERROR(IF(SMALL(タスク!$AB$5:$AB$300,ROWS($A$7:A275))&gt;=1000000000000,"",INDEX(タスク!F$5:F$300,MATCH(SMALL(タスク!$AB$5:$AB$300,ROWS($A$7:A275)),タスク!$AB$5:$AB$300,0))),"")</f>
        <v/>
      </c>
      <c r="G275" s="53" t="str">
        <f>IFERROR(IF(SMALL(タスク!$AB$5:$AB$300,ROWS($A$7:A275))&gt;=1000000000000,"",INDEX(タスク!G$5:G$300,MATCH(SMALL(タスク!$AB$5:$AB$300,ROWS($A$7:A275)),タスク!$AB$5:$AB$300,0))),"")</f>
        <v/>
      </c>
      <c r="H275" s="53" t="str">
        <f>IFERROR(IF(SMALL(タスク!$AB$5:$AB$300,ROWS($A$7:A275))&gt;=1000000000000,"",INDEX(タスク!H$5:H$300,MATCH(SMALL(タスク!$AB$5:$AB$300,ROWS($A$7:A275)),タスク!$AB$5:$AB$300,0))),"")</f>
        <v/>
      </c>
      <c r="I275" s="53" t="str">
        <f>IFERROR(IF(SMALL(タスク!$AB$5:$AB$300,ROWS($A$7:A275))&gt;=1000000000000,"",INDEX(タスク!I$5:I$300,MATCH(SMALL(タスク!$AB$5:$AB$300,ROWS($A$7:A275)),タスク!$AB$5:$AB$300,0))),"")</f>
        <v/>
      </c>
      <c r="J275" s="53" t="str">
        <f>IFERROR(IF(SMALL(タスク!$AB$5:$AB$300,ROWS($A$7:A275))&gt;=1000000000000,"",INDEX(タスク!J$5:J$300,MATCH(SMALL(タスク!$AB$5:$AB$300,ROWS($A$7:A275)),タスク!$AB$5:$AB$300,0))),"")</f>
        <v/>
      </c>
    </row>
    <row r="276" spans="1:10">
      <c r="A276" s="53" t="str">
        <f>IFERROR(IF(SMALL(タスク!$AB$5:$AB$300,ROWS($A$7:A276))&gt;=1000000000000,"",INDEX(タスク!A$5:A$300,MATCH(SMALL(タスク!$AB$5:$AB$300,ROWS($A$7:A276)),タスク!$AB$5:$AB$300,0))),"")</f>
        <v/>
      </c>
      <c r="B276" s="53" t="str">
        <f>IFERROR(IF(SMALL(タスク!$AB$5:$AB$300,ROWS($A$7:A276))&gt;=1000000000000,"",INDEX(タスク!B$5:B$300,MATCH(SMALL(タスク!$AB$5:$AB$300,ROWS($A$7:A276)),タスク!$AB$5:$AB$300,0))),"")</f>
        <v/>
      </c>
      <c r="C276" s="53" t="str">
        <f>IFERROR(IF(SMALL(タスク!$AB$5:$AB$300,ROWS($A$7:A276))&gt;=1000000000000,"",INDEX(タスク!C$5:C$300,MATCH(SMALL(タスク!$AB$5:$AB$300,ROWS($A$7:A276)),タスク!$AB$5:$AB$300,0))),"")</f>
        <v/>
      </c>
      <c r="D276" s="53" t="str">
        <f>IFERROR(IF(SMALL(タスク!$AB$5:$AB$300,ROWS($A$7:A276))&gt;=1000000000000,"",INDEX(タスク!D$5:D$300,MATCH(SMALL(タスク!$AB$5:$AB$300,ROWS($A$7:A276)),タスク!$AB$5:$AB$300,0))),"")</f>
        <v/>
      </c>
      <c r="E276" s="53" t="str">
        <f>IFERROR(IF(SMALL(タスク!$AB$5:$AB$300,ROWS($A$7:A276))&gt;=1000000000000,"",INDEX(タスク!E$5:E$300,MATCH(SMALL(タスク!$AB$5:$AB$300,ROWS($A$7:A276)),タスク!$AB$5:$AB$300,0))),"")</f>
        <v/>
      </c>
      <c r="F276" s="53" t="str">
        <f>IFERROR(IF(SMALL(タスク!$AB$5:$AB$300,ROWS($A$7:A276))&gt;=1000000000000,"",INDEX(タスク!F$5:F$300,MATCH(SMALL(タスク!$AB$5:$AB$300,ROWS($A$7:A276)),タスク!$AB$5:$AB$300,0))),"")</f>
        <v/>
      </c>
      <c r="G276" s="53" t="str">
        <f>IFERROR(IF(SMALL(タスク!$AB$5:$AB$300,ROWS($A$7:A276))&gt;=1000000000000,"",INDEX(タスク!G$5:G$300,MATCH(SMALL(タスク!$AB$5:$AB$300,ROWS($A$7:A276)),タスク!$AB$5:$AB$300,0))),"")</f>
        <v/>
      </c>
      <c r="H276" s="53" t="str">
        <f>IFERROR(IF(SMALL(タスク!$AB$5:$AB$300,ROWS($A$7:A276))&gt;=1000000000000,"",INDEX(タスク!H$5:H$300,MATCH(SMALL(タスク!$AB$5:$AB$300,ROWS($A$7:A276)),タスク!$AB$5:$AB$300,0))),"")</f>
        <v/>
      </c>
      <c r="I276" s="53" t="str">
        <f>IFERROR(IF(SMALL(タスク!$AB$5:$AB$300,ROWS($A$7:A276))&gt;=1000000000000,"",INDEX(タスク!I$5:I$300,MATCH(SMALL(タスク!$AB$5:$AB$300,ROWS($A$7:A276)),タスク!$AB$5:$AB$300,0))),"")</f>
        <v/>
      </c>
      <c r="J276" s="53" t="str">
        <f>IFERROR(IF(SMALL(タスク!$AB$5:$AB$300,ROWS($A$7:A276))&gt;=1000000000000,"",INDEX(タスク!J$5:J$300,MATCH(SMALL(タスク!$AB$5:$AB$300,ROWS($A$7:A276)),タスク!$AB$5:$AB$300,0))),"")</f>
        <v/>
      </c>
    </row>
    <row r="277" spans="1:10">
      <c r="A277" s="53" t="str">
        <f>IFERROR(IF(SMALL(タスク!$AB$5:$AB$300,ROWS($A$7:A277))&gt;=1000000000000,"",INDEX(タスク!A$5:A$300,MATCH(SMALL(タスク!$AB$5:$AB$300,ROWS($A$7:A277)),タスク!$AB$5:$AB$300,0))),"")</f>
        <v/>
      </c>
      <c r="B277" s="53" t="str">
        <f>IFERROR(IF(SMALL(タスク!$AB$5:$AB$300,ROWS($A$7:A277))&gt;=1000000000000,"",INDEX(タスク!B$5:B$300,MATCH(SMALL(タスク!$AB$5:$AB$300,ROWS($A$7:A277)),タスク!$AB$5:$AB$300,0))),"")</f>
        <v/>
      </c>
      <c r="C277" s="53" t="str">
        <f>IFERROR(IF(SMALL(タスク!$AB$5:$AB$300,ROWS($A$7:A277))&gt;=1000000000000,"",INDEX(タスク!C$5:C$300,MATCH(SMALL(タスク!$AB$5:$AB$300,ROWS($A$7:A277)),タスク!$AB$5:$AB$300,0))),"")</f>
        <v/>
      </c>
      <c r="D277" s="53" t="str">
        <f>IFERROR(IF(SMALL(タスク!$AB$5:$AB$300,ROWS($A$7:A277))&gt;=1000000000000,"",INDEX(タスク!D$5:D$300,MATCH(SMALL(タスク!$AB$5:$AB$300,ROWS($A$7:A277)),タスク!$AB$5:$AB$300,0))),"")</f>
        <v/>
      </c>
      <c r="E277" s="53" t="str">
        <f>IFERROR(IF(SMALL(タスク!$AB$5:$AB$300,ROWS($A$7:A277))&gt;=1000000000000,"",INDEX(タスク!E$5:E$300,MATCH(SMALL(タスク!$AB$5:$AB$300,ROWS($A$7:A277)),タスク!$AB$5:$AB$300,0))),"")</f>
        <v/>
      </c>
      <c r="F277" s="53" t="str">
        <f>IFERROR(IF(SMALL(タスク!$AB$5:$AB$300,ROWS($A$7:A277))&gt;=1000000000000,"",INDEX(タスク!F$5:F$300,MATCH(SMALL(タスク!$AB$5:$AB$300,ROWS($A$7:A277)),タスク!$AB$5:$AB$300,0))),"")</f>
        <v/>
      </c>
      <c r="G277" s="53" t="str">
        <f>IFERROR(IF(SMALL(タスク!$AB$5:$AB$300,ROWS($A$7:A277))&gt;=1000000000000,"",INDEX(タスク!G$5:G$300,MATCH(SMALL(タスク!$AB$5:$AB$300,ROWS($A$7:A277)),タスク!$AB$5:$AB$300,0))),"")</f>
        <v/>
      </c>
      <c r="H277" s="53" t="str">
        <f>IFERROR(IF(SMALL(タスク!$AB$5:$AB$300,ROWS($A$7:A277))&gt;=1000000000000,"",INDEX(タスク!H$5:H$300,MATCH(SMALL(タスク!$AB$5:$AB$300,ROWS($A$7:A277)),タスク!$AB$5:$AB$300,0))),"")</f>
        <v/>
      </c>
      <c r="I277" s="53" t="str">
        <f>IFERROR(IF(SMALL(タスク!$AB$5:$AB$300,ROWS($A$7:A277))&gt;=1000000000000,"",INDEX(タスク!I$5:I$300,MATCH(SMALL(タスク!$AB$5:$AB$300,ROWS($A$7:A277)),タスク!$AB$5:$AB$300,0))),"")</f>
        <v/>
      </c>
      <c r="J277" s="53" t="str">
        <f>IFERROR(IF(SMALL(タスク!$AB$5:$AB$300,ROWS($A$7:A277))&gt;=1000000000000,"",INDEX(タスク!J$5:J$300,MATCH(SMALL(タスク!$AB$5:$AB$300,ROWS($A$7:A277)),タスク!$AB$5:$AB$300,0))),"")</f>
        <v/>
      </c>
    </row>
    <row r="278" spans="1:10">
      <c r="A278" s="53" t="str">
        <f>IFERROR(IF(SMALL(タスク!$AB$5:$AB$300,ROWS($A$7:A278))&gt;=1000000000000,"",INDEX(タスク!A$5:A$300,MATCH(SMALL(タスク!$AB$5:$AB$300,ROWS($A$7:A278)),タスク!$AB$5:$AB$300,0))),"")</f>
        <v/>
      </c>
      <c r="B278" s="53" t="str">
        <f>IFERROR(IF(SMALL(タスク!$AB$5:$AB$300,ROWS($A$7:A278))&gt;=1000000000000,"",INDEX(タスク!B$5:B$300,MATCH(SMALL(タスク!$AB$5:$AB$300,ROWS($A$7:A278)),タスク!$AB$5:$AB$300,0))),"")</f>
        <v/>
      </c>
      <c r="C278" s="53" t="str">
        <f>IFERROR(IF(SMALL(タスク!$AB$5:$AB$300,ROWS($A$7:A278))&gt;=1000000000000,"",INDEX(タスク!C$5:C$300,MATCH(SMALL(タスク!$AB$5:$AB$300,ROWS($A$7:A278)),タスク!$AB$5:$AB$300,0))),"")</f>
        <v/>
      </c>
      <c r="D278" s="53" t="str">
        <f>IFERROR(IF(SMALL(タスク!$AB$5:$AB$300,ROWS($A$7:A278))&gt;=1000000000000,"",INDEX(タスク!D$5:D$300,MATCH(SMALL(タスク!$AB$5:$AB$300,ROWS($A$7:A278)),タスク!$AB$5:$AB$300,0))),"")</f>
        <v/>
      </c>
      <c r="E278" s="53" t="str">
        <f>IFERROR(IF(SMALL(タスク!$AB$5:$AB$300,ROWS($A$7:A278))&gt;=1000000000000,"",INDEX(タスク!E$5:E$300,MATCH(SMALL(タスク!$AB$5:$AB$300,ROWS($A$7:A278)),タスク!$AB$5:$AB$300,0))),"")</f>
        <v/>
      </c>
      <c r="F278" s="53" t="str">
        <f>IFERROR(IF(SMALL(タスク!$AB$5:$AB$300,ROWS($A$7:A278))&gt;=1000000000000,"",INDEX(タスク!F$5:F$300,MATCH(SMALL(タスク!$AB$5:$AB$300,ROWS($A$7:A278)),タスク!$AB$5:$AB$300,0))),"")</f>
        <v/>
      </c>
      <c r="G278" s="53" t="str">
        <f>IFERROR(IF(SMALL(タスク!$AB$5:$AB$300,ROWS($A$7:A278))&gt;=1000000000000,"",INDEX(タスク!G$5:G$300,MATCH(SMALL(タスク!$AB$5:$AB$300,ROWS($A$7:A278)),タスク!$AB$5:$AB$300,0))),"")</f>
        <v/>
      </c>
      <c r="H278" s="53" t="str">
        <f>IFERROR(IF(SMALL(タスク!$AB$5:$AB$300,ROWS($A$7:A278))&gt;=1000000000000,"",INDEX(タスク!H$5:H$300,MATCH(SMALL(タスク!$AB$5:$AB$300,ROWS($A$7:A278)),タスク!$AB$5:$AB$300,0))),"")</f>
        <v/>
      </c>
      <c r="I278" s="53" t="str">
        <f>IFERROR(IF(SMALL(タスク!$AB$5:$AB$300,ROWS($A$7:A278))&gt;=1000000000000,"",INDEX(タスク!I$5:I$300,MATCH(SMALL(タスク!$AB$5:$AB$300,ROWS($A$7:A278)),タスク!$AB$5:$AB$300,0))),"")</f>
        <v/>
      </c>
      <c r="J278" s="53" t="str">
        <f>IFERROR(IF(SMALL(タスク!$AB$5:$AB$300,ROWS($A$7:A278))&gt;=1000000000000,"",INDEX(タスク!J$5:J$300,MATCH(SMALL(タスク!$AB$5:$AB$300,ROWS($A$7:A278)),タスク!$AB$5:$AB$300,0))),"")</f>
        <v/>
      </c>
    </row>
    <row r="279" spans="1:10">
      <c r="A279" s="53" t="str">
        <f>IFERROR(IF(SMALL(タスク!$AB$5:$AB$300,ROWS($A$7:A279))&gt;=1000000000000,"",INDEX(タスク!A$5:A$300,MATCH(SMALL(タスク!$AB$5:$AB$300,ROWS($A$7:A279)),タスク!$AB$5:$AB$300,0))),"")</f>
        <v/>
      </c>
      <c r="B279" s="53" t="str">
        <f>IFERROR(IF(SMALL(タスク!$AB$5:$AB$300,ROWS($A$7:A279))&gt;=1000000000000,"",INDEX(タスク!B$5:B$300,MATCH(SMALL(タスク!$AB$5:$AB$300,ROWS($A$7:A279)),タスク!$AB$5:$AB$300,0))),"")</f>
        <v/>
      </c>
      <c r="C279" s="53" t="str">
        <f>IFERROR(IF(SMALL(タスク!$AB$5:$AB$300,ROWS($A$7:A279))&gt;=1000000000000,"",INDEX(タスク!C$5:C$300,MATCH(SMALL(タスク!$AB$5:$AB$300,ROWS($A$7:A279)),タスク!$AB$5:$AB$300,0))),"")</f>
        <v/>
      </c>
      <c r="D279" s="53" t="str">
        <f>IFERROR(IF(SMALL(タスク!$AB$5:$AB$300,ROWS($A$7:A279))&gt;=1000000000000,"",INDEX(タスク!D$5:D$300,MATCH(SMALL(タスク!$AB$5:$AB$300,ROWS($A$7:A279)),タスク!$AB$5:$AB$300,0))),"")</f>
        <v/>
      </c>
      <c r="E279" s="53" t="str">
        <f>IFERROR(IF(SMALL(タスク!$AB$5:$AB$300,ROWS($A$7:A279))&gt;=1000000000000,"",INDEX(タスク!E$5:E$300,MATCH(SMALL(タスク!$AB$5:$AB$300,ROWS($A$7:A279)),タスク!$AB$5:$AB$300,0))),"")</f>
        <v/>
      </c>
      <c r="F279" s="53" t="str">
        <f>IFERROR(IF(SMALL(タスク!$AB$5:$AB$300,ROWS($A$7:A279))&gt;=1000000000000,"",INDEX(タスク!F$5:F$300,MATCH(SMALL(タスク!$AB$5:$AB$300,ROWS($A$7:A279)),タスク!$AB$5:$AB$300,0))),"")</f>
        <v/>
      </c>
      <c r="G279" s="53" t="str">
        <f>IFERROR(IF(SMALL(タスク!$AB$5:$AB$300,ROWS($A$7:A279))&gt;=1000000000000,"",INDEX(タスク!G$5:G$300,MATCH(SMALL(タスク!$AB$5:$AB$300,ROWS($A$7:A279)),タスク!$AB$5:$AB$300,0))),"")</f>
        <v/>
      </c>
      <c r="H279" s="53" t="str">
        <f>IFERROR(IF(SMALL(タスク!$AB$5:$AB$300,ROWS($A$7:A279))&gt;=1000000000000,"",INDEX(タスク!H$5:H$300,MATCH(SMALL(タスク!$AB$5:$AB$300,ROWS($A$7:A279)),タスク!$AB$5:$AB$300,0))),"")</f>
        <v/>
      </c>
      <c r="I279" s="53" t="str">
        <f>IFERROR(IF(SMALL(タスク!$AB$5:$AB$300,ROWS($A$7:A279))&gt;=1000000000000,"",INDEX(タスク!I$5:I$300,MATCH(SMALL(タスク!$AB$5:$AB$300,ROWS($A$7:A279)),タスク!$AB$5:$AB$300,0))),"")</f>
        <v/>
      </c>
      <c r="J279" s="53" t="str">
        <f>IFERROR(IF(SMALL(タスク!$AB$5:$AB$300,ROWS($A$7:A279))&gt;=1000000000000,"",INDEX(タスク!J$5:J$300,MATCH(SMALL(タスク!$AB$5:$AB$300,ROWS($A$7:A279)),タスク!$AB$5:$AB$300,0))),"")</f>
        <v/>
      </c>
    </row>
    <row r="280" spans="1:10">
      <c r="A280" s="53" t="str">
        <f>IFERROR(IF(SMALL(タスク!$AB$5:$AB$300,ROWS($A$7:A280))&gt;=1000000000000,"",INDEX(タスク!A$5:A$300,MATCH(SMALL(タスク!$AB$5:$AB$300,ROWS($A$7:A280)),タスク!$AB$5:$AB$300,0))),"")</f>
        <v/>
      </c>
      <c r="B280" s="53" t="str">
        <f>IFERROR(IF(SMALL(タスク!$AB$5:$AB$300,ROWS($A$7:A280))&gt;=1000000000000,"",INDEX(タスク!B$5:B$300,MATCH(SMALL(タスク!$AB$5:$AB$300,ROWS($A$7:A280)),タスク!$AB$5:$AB$300,0))),"")</f>
        <v/>
      </c>
      <c r="C280" s="53" t="str">
        <f>IFERROR(IF(SMALL(タスク!$AB$5:$AB$300,ROWS($A$7:A280))&gt;=1000000000000,"",INDEX(タスク!C$5:C$300,MATCH(SMALL(タスク!$AB$5:$AB$300,ROWS($A$7:A280)),タスク!$AB$5:$AB$300,0))),"")</f>
        <v/>
      </c>
      <c r="D280" s="53" t="str">
        <f>IFERROR(IF(SMALL(タスク!$AB$5:$AB$300,ROWS($A$7:A280))&gt;=1000000000000,"",INDEX(タスク!D$5:D$300,MATCH(SMALL(タスク!$AB$5:$AB$300,ROWS($A$7:A280)),タスク!$AB$5:$AB$300,0))),"")</f>
        <v/>
      </c>
      <c r="E280" s="53" t="str">
        <f>IFERROR(IF(SMALL(タスク!$AB$5:$AB$300,ROWS($A$7:A280))&gt;=1000000000000,"",INDEX(タスク!E$5:E$300,MATCH(SMALL(タスク!$AB$5:$AB$300,ROWS($A$7:A280)),タスク!$AB$5:$AB$300,0))),"")</f>
        <v/>
      </c>
      <c r="F280" s="53" t="str">
        <f>IFERROR(IF(SMALL(タスク!$AB$5:$AB$300,ROWS($A$7:A280))&gt;=1000000000000,"",INDEX(タスク!F$5:F$300,MATCH(SMALL(タスク!$AB$5:$AB$300,ROWS($A$7:A280)),タスク!$AB$5:$AB$300,0))),"")</f>
        <v/>
      </c>
      <c r="G280" s="53" t="str">
        <f>IFERROR(IF(SMALL(タスク!$AB$5:$AB$300,ROWS($A$7:A280))&gt;=1000000000000,"",INDEX(タスク!G$5:G$300,MATCH(SMALL(タスク!$AB$5:$AB$300,ROWS($A$7:A280)),タスク!$AB$5:$AB$300,0))),"")</f>
        <v/>
      </c>
      <c r="H280" s="53" t="str">
        <f>IFERROR(IF(SMALL(タスク!$AB$5:$AB$300,ROWS($A$7:A280))&gt;=1000000000000,"",INDEX(タスク!H$5:H$300,MATCH(SMALL(タスク!$AB$5:$AB$300,ROWS($A$7:A280)),タスク!$AB$5:$AB$300,0))),"")</f>
        <v/>
      </c>
      <c r="I280" s="53" t="str">
        <f>IFERROR(IF(SMALL(タスク!$AB$5:$AB$300,ROWS($A$7:A280))&gt;=1000000000000,"",INDEX(タスク!I$5:I$300,MATCH(SMALL(タスク!$AB$5:$AB$300,ROWS($A$7:A280)),タスク!$AB$5:$AB$300,0))),"")</f>
        <v/>
      </c>
      <c r="J280" s="53" t="str">
        <f>IFERROR(IF(SMALL(タスク!$AB$5:$AB$300,ROWS($A$7:A280))&gt;=1000000000000,"",INDEX(タスク!J$5:J$300,MATCH(SMALL(タスク!$AB$5:$AB$300,ROWS($A$7:A280)),タスク!$AB$5:$AB$300,0))),"")</f>
        <v/>
      </c>
    </row>
    <row r="281" spans="1:10">
      <c r="A281" s="53" t="str">
        <f>IFERROR(IF(SMALL(タスク!$AB$5:$AB$300,ROWS($A$7:A281))&gt;=1000000000000,"",INDEX(タスク!A$5:A$300,MATCH(SMALL(タスク!$AB$5:$AB$300,ROWS($A$7:A281)),タスク!$AB$5:$AB$300,0))),"")</f>
        <v/>
      </c>
      <c r="B281" s="53" t="str">
        <f>IFERROR(IF(SMALL(タスク!$AB$5:$AB$300,ROWS($A$7:A281))&gt;=1000000000000,"",INDEX(タスク!B$5:B$300,MATCH(SMALL(タスク!$AB$5:$AB$300,ROWS($A$7:A281)),タスク!$AB$5:$AB$300,0))),"")</f>
        <v/>
      </c>
      <c r="C281" s="53" t="str">
        <f>IFERROR(IF(SMALL(タスク!$AB$5:$AB$300,ROWS($A$7:A281))&gt;=1000000000000,"",INDEX(タスク!C$5:C$300,MATCH(SMALL(タスク!$AB$5:$AB$300,ROWS($A$7:A281)),タスク!$AB$5:$AB$300,0))),"")</f>
        <v/>
      </c>
      <c r="D281" s="53" t="str">
        <f>IFERROR(IF(SMALL(タスク!$AB$5:$AB$300,ROWS($A$7:A281))&gt;=1000000000000,"",INDEX(タスク!D$5:D$300,MATCH(SMALL(タスク!$AB$5:$AB$300,ROWS($A$7:A281)),タスク!$AB$5:$AB$300,0))),"")</f>
        <v/>
      </c>
      <c r="E281" s="53" t="str">
        <f>IFERROR(IF(SMALL(タスク!$AB$5:$AB$300,ROWS($A$7:A281))&gt;=1000000000000,"",INDEX(タスク!E$5:E$300,MATCH(SMALL(タスク!$AB$5:$AB$300,ROWS($A$7:A281)),タスク!$AB$5:$AB$300,0))),"")</f>
        <v/>
      </c>
      <c r="F281" s="53" t="str">
        <f>IFERROR(IF(SMALL(タスク!$AB$5:$AB$300,ROWS($A$7:A281))&gt;=1000000000000,"",INDEX(タスク!F$5:F$300,MATCH(SMALL(タスク!$AB$5:$AB$300,ROWS($A$7:A281)),タスク!$AB$5:$AB$300,0))),"")</f>
        <v/>
      </c>
      <c r="G281" s="53" t="str">
        <f>IFERROR(IF(SMALL(タスク!$AB$5:$AB$300,ROWS($A$7:A281))&gt;=1000000000000,"",INDEX(タスク!G$5:G$300,MATCH(SMALL(タスク!$AB$5:$AB$300,ROWS($A$7:A281)),タスク!$AB$5:$AB$300,0))),"")</f>
        <v/>
      </c>
      <c r="H281" s="53" t="str">
        <f>IFERROR(IF(SMALL(タスク!$AB$5:$AB$300,ROWS($A$7:A281))&gt;=1000000000000,"",INDEX(タスク!H$5:H$300,MATCH(SMALL(タスク!$AB$5:$AB$300,ROWS($A$7:A281)),タスク!$AB$5:$AB$300,0))),"")</f>
        <v/>
      </c>
      <c r="I281" s="53" t="str">
        <f>IFERROR(IF(SMALL(タスク!$AB$5:$AB$300,ROWS($A$7:A281))&gt;=1000000000000,"",INDEX(タスク!I$5:I$300,MATCH(SMALL(タスク!$AB$5:$AB$300,ROWS($A$7:A281)),タスク!$AB$5:$AB$300,0))),"")</f>
        <v/>
      </c>
      <c r="J281" s="53" t="str">
        <f>IFERROR(IF(SMALL(タスク!$AB$5:$AB$300,ROWS($A$7:A281))&gt;=1000000000000,"",INDEX(タスク!J$5:J$300,MATCH(SMALL(タスク!$AB$5:$AB$300,ROWS($A$7:A281)),タスク!$AB$5:$AB$300,0))),"")</f>
        <v/>
      </c>
    </row>
    <row r="282" spans="1:10">
      <c r="A282" s="53" t="str">
        <f>IFERROR(IF(SMALL(タスク!$AB$5:$AB$300,ROWS($A$7:A282))&gt;=1000000000000,"",INDEX(タスク!A$5:A$300,MATCH(SMALL(タスク!$AB$5:$AB$300,ROWS($A$7:A282)),タスク!$AB$5:$AB$300,0))),"")</f>
        <v/>
      </c>
      <c r="B282" s="53" t="str">
        <f>IFERROR(IF(SMALL(タスク!$AB$5:$AB$300,ROWS($A$7:A282))&gt;=1000000000000,"",INDEX(タスク!B$5:B$300,MATCH(SMALL(タスク!$AB$5:$AB$300,ROWS($A$7:A282)),タスク!$AB$5:$AB$300,0))),"")</f>
        <v/>
      </c>
      <c r="C282" s="53" t="str">
        <f>IFERROR(IF(SMALL(タスク!$AB$5:$AB$300,ROWS($A$7:A282))&gt;=1000000000000,"",INDEX(タスク!C$5:C$300,MATCH(SMALL(タスク!$AB$5:$AB$300,ROWS($A$7:A282)),タスク!$AB$5:$AB$300,0))),"")</f>
        <v/>
      </c>
      <c r="D282" s="53" t="str">
        <f>IFERROR(IF(SMALL(タスク!$AB$5:$AB$300,ROWS($A$7:A282))&gt;=1000000000000,"",INDEX(タスク!D$5:D$300,MATCH(SMALL(タスク!$AB$5:$AB$300,ROWS($A$7:A282)),タスク!$AB$5:$AB$300,0))),"")</f>
        <v/>
      </c>
      <c r="E282" s="53" t="str">
        <f>IFERROR(IF(SMALL(タスク!$AB$5:$AB$300,ROWS($A$7:A282))&gt;=1000000000000,"",INDEX(タスク!E$5:E$300,MATCH(SMALL(タスク!$AB$5:$AB$300,ROWS($A$7:A282)),タスク!$AB$5:$AB$300,0))),"")</f>
        <v/>
      </c>
      <c r="F282" s="53" t="str">
        <f>IFERROR(IF(SMALL(タスク!$AB$5:$AB$300,ROWS($A$7:A282))&gt;=1000000000000,"",INDEX(タスク!F$5:F$300,MATCH(SMALL(タスク!$AB$5:$AB$300,ROWS($A$7:A282)),タスク!$AB$5:$AB$300,0))),"")</f>
        <v/>
      </c>
      <c r="G282" s="53" t="str">
        <f>IFERROR(IF(SMALL(タスク!$AB$5:$AB$300,ROWS($A$7:A282))&gt;=1000000000000,"",INDEX(タスク!G$5:G$300,MATCH(SMALL(タスク!$AB$5:$AB$300,ROWS($A$7:A282)),タスク!$AB$5:$AB$300,0))),"")</f>
        <v/>
      </c>
      <c r="H282" s="53" t="str">
        <f>IFERROR(IF(SMALL(タスク!$AB$5:$AB$300,ROWS($A$7:A282))&gt;=1000000000000,"",INDEX(タスク!H$5:H$300,MATCH(SMALL(タスク!$AB$5:$AB$300,ROWS($A$7:A282)),タスク!$AB$5:$AB$300,0))),"")</f>
        <v/>
      </c>
      <c r="I282" s="53" t="str">
        <f>IFERROR(IF(SMALL(タスク!$AB$5:$AB$300,ROWS($A$7:A282))&gt;=1000000000000,"",INDEX(タスク!I$5:I$300,MATCH(SMALL(タスク!$AB$5:$AB$300,ROWS($A$7:A282)),タスク!$AB$5:$AB$300,0))),"")</f>
        <v/>
      </c>
      <c r="J282" s="53" t="str">
        <f>IFERROR(IF(SMALL(タスク!$AB$5:$AB$300,ROWS($A$7:A282))&gt;=1000000000000,"",INDEX(タスク!J$5:J$300,MATCH(SMALL(タスク!$AB$5:$AB$300,ROWS($A$7:A282)),タスク!$AB$5:$AB$300,0))),"")</f>
        <v/>
      </c>
    </row>
    <row r="283" spans="1:10">
      <c r="A283" s="53" t="str">
        <f>IFERROR(IF(SMALL(タスク!$AB$5:$AB$300,ROWS($A$7:A283))&gt;=1000000000000,"",INDEX(タスク!A$5:A$300,MATCH(SMALL(タスク!$AB$5:$AB$300,ROWS($A$7:A283)),タスク!$AB$5:$AB$300,0))),"")</f>
        <v/>
      </c>
      <c r="B283" s="53" t="str">
        <f>IFERROR(IF(SMALL(タスク!$AB$5:$AB$300,ROWS($A$7:A283))&gt;=1000000000000,"",INDEX(タスク!B$5:B$300,MATCH(SMALL(タスク!$AB$5:$AB$300,ROWS($A$7:A283)),タスク!$AB$5:$AB$300,0))),"")</f>
        <v/>
      </c>
      <c r="C283" s="53" t="str">
        <f>IFERROR(IF(SMALL(タスク!$AB$5:$AB$300,ROWS($A$7:A283))&gt;=1000000000000,"",INDEX(タスク!C$5:C$300,MATCH(SMALL(タスク!$AB$5:$AB$300,ROWS($A$7:A283)),タスク!$AB$5:$AB$300,0))),"")</f>
        <v/>
      </c>
      <c r="D283" s="53" t="str">
        <f>IFERROR(IF(SMALL(タスク!$AB$5:$AB$300,ROWS($A$7:A283))&gt;=1000000000000,"",INDEX(タスク!D$5:D$300,MATCH(SMALL(タスク!$AB$5:$AB$300,ROWS($A$7:A283)),タスク!$AB$5:$AB$300,0))),"")</f>
        <v/>
      </c>
      <c r="E283" s="53" t="str">
        <f>IFERROR(IF(SMALL(タスク!$AB$5:$AB$300,ROWS($A$7:A283))&gt;=1000000000000,"",INDEX(タスク!E$5:E$300,MATCH(SMALL(タスク!$AB$5:$AB$300,ROWS($A$7:A283)),タスク!$AB$5:$AB$300,0))),"")</f>
        <v/>
      </c>
      <c r="F283" s="53" t="str">
        <f>IFERROR(IF(SMALL(タスク!$AB$5:$AB$300,ROWS($A$7:A283))&gt;=1000000000000,"",INDEX(タスク!F$5:F$300,MATCH(SMALL(タスク!$AB$5:$AB$300,ROWS($A$7:A283)),タスク!$AB$5:$AB$300,0))),"")</f>
        <v/>
      </c>
      <c r="G283" s="53" t="str">
        <f>IFERROR(IF(SMALL(タスク!$AB$5:$AB$300,ROWS($A$7:A283))&gt;=1000000000000,"",INDEX(タスク!G$5:G$300,MATCH(SMALL(タスク!$AB$5:$AB$300,ROWS($A$7:A283)),タスク!$AB$5:$AB$300,0))),"")</f>
        <v/>
      </c>
      <c r="H283" s="53" t="str">
        <f>IFERROR(IF(SMALL(タスク!$AB$5:$AB$300,ROWS($A$7:A283))&gt;=1000000000000,"",INDEX(タスク!H$5:H$300,MATCH(SMALL(タスク!$AB$5:$AB$300,ROWS($A$7:A283)),タスク!$AB$5:$AB$300,0))),"")</f>
        <v/>
      </c>
      <c r="I283" s="53" t="str">
        <f>IFERROR(IF(SMALL(タスク!$AB$5:$AB$300,ROWS($A$7:A283))&gt;=1000000000000,"",INDEX(タスク!I$5:I$300,MATCH(SMALL(タスク!$AB$5:$AB$300,ROWS($A$7:A283)),タスク!$AB$5:$AB$300,0))),"")</f>
        <v/>
      </c>
      <c r="J283" s="53" t="str">
        <f>IFERROR(IF(SMALL(タスク!$AB$5:$AB$300,ROWS($A$7:A283))&gt;=1000000000000,"",INDEX(タスク!J$5:J$300,MATCH(SMALL(タスク!$AB$5:$AB$300,ROWS($A$7:A283)),タスク!$AB$5:$AB$300,0))),"")</f>
        <v/>
      </c>
    </row>
    <row r="284" spans="1:10">
      <c r="A284" s="53" t="str">
        <f>IFERROR(IF(SMALL(タスク!$AB$5:$AB$300,ROWS($A$7:A284))&gt;=1000000000000,"",INDEX(タスク!A$5:A$300,MATCH(SMALL(タスク!$AB$5:$AB$300,ROWS($A$7:A284)),タスク!$AB$5:$AB$300,0))),"")</f>
        <v/>
      </c>
      <c r="B284" s="53" t="str">
        <f>IFERROR(IF(SMALL(タスク!$AB$5:$AB$300,ROWS($A$7:A284))&gt;=1000000000000,"",INDEX(タスク!B$5:B$300,MATCH(SMALL(タスク!$AB$5:$AB$300,ROWS($A$7:A284)),タスク!$AB$5:$AB$300,0))),"")</f>
        <v/>
      </c>
      <c r="C284" s="53" t="str">
        <f>IFERROR(IF(SMALL(タスク!$AB$5:$AB$300,ROWS($A$7:A284))&gt;=1000000000000,"",INDEX(タスク!C$5:C$300,MATCH(SMALL(タスク!$AB$5:$AB$300,ROWS($A$7:A284)),タスク!$AB$5:$AB$300,0))),"")</f>
        <v/>
      </c>
      <c r="D284" s="53" t="str">
        <f>IFERROR(IF(SMALL(タスク!$AB$5:$AB$300,ROWS($A$7:A284))&gt;=1000000000000,"",INDEX(タスク!D$5:D$300,MATCH(SMALL(タスク!$AB$5:$AB$300,ROWS($A$7:A284)),タスク!$AB$5:$AB$300,0))),"")</f>
        <v/>
      </c>
      <c r="E284" s="53" t="str">
        <f>IFERROR(IF(SMALL(タスク!$AB$5:$AB$300,ROWS($A$7:A284))&gt;=1000000000000,"",INDEX(タスク!E$5:E$300,MATCH(SMALL(タスク!$AB$5:$AB$300,ROWS($A$7:A284)),タスク!$AB$5:$AB$300,0))),"")</f>
        <v/>
      </c>
      <c r="F284" s="53" t="str">
        <f>IFERROR(IF(SMALL(タスク!$AB$5:$AB$300,ROWS($A$7:A284))&gt;=1000000000000,"",INDEX(タスク!F$5:F$300,MATCH(SMALL(タスク!$AB$5:$AB$300,ROWS($A$7:A284)),タスク!$AB$5:$AB$300,0))),"")</f>
        <v/>
      </c>
      <c r="G284" s="53" t="str">
        <f>IFERROR(IF(SMALL(タスク!$AB$5:$AB$300,ROWS($A$7:A284))&gt;=1000000000000,"",INDEX(タスク!G$5:G$300,MATCH(SMALL(タスク!$AB$5:$AB$300,ROWS($A$7:A284)),タスク!$AB$5:$AB$300,0))),"")</f>
        <v/>
      </c>
      <c r="H284" s="53" t="str">
        <f>IFERROR(IF(SMALL(タスク!$AB$5:$AB$300,ROWS($A$7:A284))&gt;=1000000000000,"",INDEX(タスク!H$5:H$300,MATCH(SMALL(タスク!$AB$5:$AB$300,ROWS($A$7:A284)),タスク!$AB$5:$AB$300,0))),"")</f>
        <v/>
      </c>
      <c r="I284" s="53" t="str">
        <f>IFERROR(IF(SMALL(タスク!$AB$5:$AB$300,ROWS($A$7:A284))&gt;=1000000000000,"",INDEX(タスク!I$5:I$300,MATCH(SMALL(タスク!$AB$5:$AB$300,ROWS($A$7:A284)),タスク!$AB$5:$AB$300,0))),"")</f>
        <v/>
      </c>
      <c r="J284" s="53" t="str">
        <f>IFERROR(IF(SMALL(タスク!$AB$5:$AB$300,ROWS($A$7:A284))&gt;=1000000000000,"",INDEX(タスク!J$5:J$300,MATCH(SMALL(タスク!$AB$5:$AB$300,ROWS($A$7:A284)),タスク!$AB$5:$AB$300,0))),"")</f>
        <v/>
      </c>
    </row>
    <row r="285" spans="1:10">
      <c r="A285" s="53" t="str">
        <f>IFERROR(IF(SMALL(タスク!$AB$5:$AB$300,ROWS($A$7:A285))&gt;=1000000000000,"",INDEX(タスク!A$5:A$300,MATCH(SMALL(タスク!$AB$5:$AB$300,ROWS($A$7:A285)),タスク!$AB$5:$AB$300,0))),"")</f>
        <v/>
      </c>
      <c r="B285" s="53" t="str">
        <f>IFERROR(IF(SMALL(タスク!$AB$5:$AB$300,ROWS($A$7:A285))&gt;=1000000000000,"",INDEX(タスク!B$5:B$300,MATCH(SMALL(タスク!$AB$5:$AB$300,ROWS($A$7:A285)),タスク!$AB$5:$AB$300,0))),"")</f>
        <v/>
      </c>
      <c r="C285" s="53" t="str">
        <f>IFERROR(IF(SMALL(タスク!$AB$5:$AB$300,ROWS($A$7:A285))&gt;=1000000000000,"",INDEX(タスク!C$5:C$300,MATCH(SMALL(タスク!$AB$5:$AB$300,ROWS($A$7:A285)),タスク!$AB$5:$AB$300,0))),"")</f>
        <v/>
      </c>
      <c r="D285" s="53" t="str">
        <f>IFERROR(IF(SMALL(タスク!$AB$5:$AB$300,ROWS($A$7:A285))&gt;=1000000000000,"",INDEX(タスク!D$5:D$300,MATCH(SMALL(タスク!$AB$5:$AB$300,ROWS($A$7:A285)),タスク!$AB$5:$AB$300,0))),"")</f>
        <v/>
      </c>
      <c r="E285" s="53" t="str">
        <f>IFERROR(IF(SMALL(タスク!$AB$5:$AB$300,ROWS($A$7:A285))&gt;=1000000000000,"",INDEX(タスク!E$5:E$300,MATCH(SMALL(タスク!$AB$5:$AB$300,ROWS($A$7:A285)),タスク!$AB$5:$AB$300,0))),"")</f>
        <v/>
      </c>
      <c r="F285" s="53" t="str">
        <f>IFERROR(IF(SMALL(タスク!$AB$5:$AB$300,ROWS($A$7:A285))&gt;=1000000000000,"",INDEX(タスク!F$5:F$300,MATCH(SMALL(タスク!$AB$5:$AB$300,ROWS($A$7:A285)),タスク!$AB$5:$AB$300,0))),"")</f>
        <v/>
      </c>
      <c r="G285" s="53" t="str">
        <f>IFERROR(IF(SMALL(タスク!$AB$5:$AB$300,ROWS($A$7:A285))&gt;=1000000000000,"",INDEX(タスク!G$5:G$300,MATCH(SMALL(タスク!$AB$5:$AB$300,ROWS($A$7:A285)),タスク!$AB$5:$AB$300,0))),"")</f>
        <v/>
      </c>
      <c r="H285" s="53" t="str">
        <f>IFERROR(IF(SMALL(タスク!$AB$5:$AB$300,ROWS($A$7:A285))&gt;=1000000000000,"",INDEX(タスク!H$5:H$300,MATCH(SMALL(タスク!$AB$5:$AB$300,ROWS($A$7:A285)),タスク!$AB$5:$AB$300,0))),"")</f>
        <v/>
      </c>
      <c r="I285" s="53" t="str">
        <f>IFERROR(IF(SMALL(タスク!$AB$5:$AB$300,ROWS($A$7:A285))&gt;=1000000000000,"",INDEX(タスク!I$5:I$300,MATCH(SMALL(タスク!$AB$5:$AB$300,ROWS($A$7:A285)),タスク!$AB$5:$AB$300,0))),"")</f>
        <v/>
      </c>
      <c r="J285" s="53" t="str">
        <f>IFERROR(IF(SMALL(タスク!$AB$5:$AB$300,ROWS($A$7:A285))&gt;=1000000000000,"",INDEX(タスク!J$5:J$300,MATCH(SMALL(タスク!$AB$5:$AB$300,ROWS($A$7:A285)),タスク!$AB$5:$AB$300,0))),"")</f>
        <v/>
      </c>
    </row>
    <row r="286" spans="1:10">
      <c r="A286" s="53" t="str">
        <f>IFERROR(IF(SMALL(タスク!$AB$5:$AB$300,ROWS($A$7:A286))&gt;=1000000000000,"",INDEX(タスク!A$5:A$300,MATCH(SMALL(タスク!$AB$5:$AB$300,ROWS($A$7:A286)),タスク!$AB$5:$AB$300,0))),"")</f>
        <v/>
      </c>
      <c r="B286" s="53" t="str">
        <f>IFERROR(IF(SMALL(タスク!$AB$5:$AB$300,ROWS($A$7:A286))&gt;=1000000000000,"",INDEX(タスク!B$5:B$300,MATCH(SMALL(タスク!$AB$5:$AB$300,ROWS($A$7:A286)),タスク!$AB$5:$AB$300,0))),"")</f>
        <v/>
      </c>
      <c r="C286" s="53" t="str">
        <f>IFERROR(IF(SMALL(タスク!$AB$5:$AB$300,ROWS($A$7:A286))&gt;=1000000000000,"",INDEX(タスク!C$5:C$300,MATCH(SMALL(タスク!$AB$5:$AB$300,ROWS($A$7:A286)),タスク!$AB$5:$AB$300,0))),"")</f>
        <v/>
      </c>
      <c r="D286" s="53" t="str">
        <f>IFERROR(IF(SMALL(タスク!$AB$5:$AB$300,ROWS($A$7:A286))&gt;=1000000000000,"",INDEX(タスク!D$5:D$300,MATCH(SMALL(タスク!$AB$5:$AB$300,ROWS($A$7:A286)),タスク!$AB$5:$AB$300,0))),"")</f>
        <v/>
      </c>
      <c r="E286" s="53" t="str">
        <f>IFERROR(IF(SMALL(タスク!$AB$5:$AB$300,ROWS($A$7:A286))&gt;=1000000000000,"",INDEX(タスク!E$5:E$300,MATCH(SMALL(タスク!$AB$5:$AB$300,ROWS($A$7:A286)),タスク!$AB$5:$AB$300,0))),"")</f>
        <v/>
      </c>
      <c r="F286" s="53" t="str">
        <f>IFERROR(IF(SMALL(タスク!$AB$5:$AB$300,ROWS($A$7:A286))&gt;=1000000000000,"",INDEX(タスク!F$5:F$300,MATCH(SMALL(タスク!$AB$5:$AB$300,ROWS($A$7:A286)),タスク!$AB$5:$AB$300,0))),"")</f>
        <v/>
      </c>
      <c r="G286" s="53" t="str">
        <f>IFERROR(IF(SMALL(タスク!$AB$5:$AB$300,ROWS($A$7:A286))&gt;=1000000000000,"",INDEX(タスク!G$5:G$300,MATCH(SMALL(タスク!$AB$5:$AB$300,ROWS($A$7:A286)),タスク!$AB$5:$AB$300,0))),"")</f>
        <v/>
      </c>
      <c r="H286" s="53" t="str">
        <f>IFERROR(IF(SMALL(タスク!$AB$5:$AB$300,ROWS($A$7:A286))&gt;=1000000000000,"",INDEX(タスク!H$5:H$300,MATCH(SMALL(タスク!$AB$5:$AB$300,ROWS($A$7:A286)),タスク!$AB$5:$AB$300,0))),"")</f>
        <v/>
      </c>
      <c r="I286" s="53" t="str">
        <f>IFERROR(IF(SMALL(タスク!$AB$5:$AB$300,ROWS($A$7:A286))&gt;=1000000000000,"",INDEX(タスク!I$5:I$300,MATCH(SMALL(タスク!$AB$5:$AB$300,ROWS($A$7:A286)),タスク!$AB$5:$AB$300,0))),"")</f>
        <v/>
      </c>
      <c r="J286" s="53" t="str">
        <f>IFERROR(IF(SMALL(タスク!$AB$5:$AB$300,ROWS($A$7:A286))&gt;=1000000000000,"",INDEX(タスク!J$5:J$300,MATCH(SMALL(タスク!$AB$5:$AB$300,ROWS($A$7:A286)),タスク!$AB$5:$AB$300,0))),"")</f>
        <v/>
      </c>
    </row>
    <row r="287" spans="1:10">
      <c r="A287" s="53" t="str">
        <f>IFERROR(IF(SMALL(タスク!$AB$5:$AB$300,ROWS($A$7:A287))&gt;=1000000000000,"",INDEX(タスク!A$5:A$300,MATCH(SMALL(タスク!$AB$5:$AB$300,ROWS($A$7:A287)),タスク!$AB$5:$AB$300,0))),"")</f>
        <v/>
      </c>
      <c r="B287" s="53" t="str">
        <f>IFERROR(IF(SMALL(タスク!$AB$5:$AB$300,ROWS($A$7:A287))&gt;=1000000000000,"",INDEX(タスク!B$5:B$300,MATCH(SMALL(タスク!$AB$5:$AB$300,ROWS($A$7:A287)),タスク!$AB$5:$AB$300,0))),"")</f>
        <v/>
      </c>
      <c r="C287" s="53" t="str">
        <f>IFERROR(IF(SMALL(タスク!$AB$5:$AB$300,ROWS($A$7:A287))&gt;=1000000000000,"",INDEX(タスク!C$5:C$300,MATCH(SMALL(タスク!$AB$5:$AB$300,ROWS($A$7:A287)),タスク!$AB$5:$AB$300,0))),"")</f>
        <v/>
      </c>
      <c r="D287" s="53" t="str">
        <f>IFERROR(IF(SMALL(タスク!$AB$5:$AB$300,ROWS($A$7:A287))&gt;=1000000000000,"",INDEX(タスク!D$5:D$300,MATCH(SMALL(タスク!$AB$5:$AB$300,ROWS($A$7:A287)),タスク!$AB$5:$AB$300,0))),"")</f>
        <v/>
      </c>
      <c r="E287" s="53" t="str">
        <f>IFERROR(IF(SMALL(タスク!$AB$5:$AB$300,ROWS($A$7:A287))&gt;=1000000000000,"",INDEX(タスク!E$5:E$300,MATCH(SMALL(タスク!$AB$5:$AB$300,ROWS($A$7:A287)),タスク!$AB$5:$AB$300,0))),"")</f>
        <v/>
      </c>
      <c r="F287" s="53" t="str">
        <f>IFERROR(IF(SMALL(タスク!$AB$5:$AB$300,ROWS($A$7:A287))&gt;=1000000000000,"",INDEX(タスク!F$5:F$300,MATCH(SMALL(タスク!$AB$5:$AB$300,ROWS($A$7:A287)),タスク!$AB$5:$AB$300,0))),"")</f>
        <v/>
      </c>
      <c r="G287" s="53" t="str">
        <f>IFERROR(IF(SMALL(タスク!$AB$5:$AB$300,ROWS($A$7:A287))&gt;=1000000000000,"",INDEX(タスク!G$5:G$300,MATCH(SMALL(タスク!$AB$5:$AB$300,ROWS($A$7:A287)),タスク!$AB$5:$AB$300,0))),"")</f>
        <v/>
      </c>
      <c r="H287" s="53" t="str">
        <f>IFERROR(IF(SMALL(タスク!$AB$5:$AB$300,ROWS($A$7:A287))&gt;=1000000000000,"",INDEX(タスク!H$5:H$300,MATCH(SMALL(タスク!$AB$5:$AB$300,ROWS($A$7:A287)),タスク!$AB$5:$AB$300,0))),"")</f>
        <v/>
      </c>
      <c r="I287" s="53" t="str">
        <f>IFERROR(IF(SMALL(タスク!$AB$5:$AB$300,ROWS($A$7:A287))&gt;=1000000000000,"",INDEX(タスク!I$5:I$300,MATCH(SMALL(タスク!$AB$5:$AB$300,ROWS($A$7:A287)),タスク!$AB$5:$AB$300,0))),"")</f>
        <v/>
      </c>
      <c r="J287" s="53" t="str">
        <f>IFERROR(IF(SMALL(タスク!$AB$5:$AB$300,ROWS($A$7:A287))&gt;=1000000000000,"",INDEX(タスク!J$5:J$300,MATCH(SMALL(タスク!$AB$5:$AB$300,ROWS($A$7:A287)),タスク!$AB$5:$AB$300,0))),"")</f>
        <v/>
      </c>
    </row>
    <row r="288" spans="1:10">
      <c r="A288" s="53" t="str">
        <f>IFERROR(IF(SMALL(タスク!$AB$5:$AB$300,ROWS($A$7:A288))&gt;=1000000000000,"",INDEX(タスク!A$5:A$300,MATCH(SMALL(タスク!$AB$5:$AB$300,ROWS($A$7:A288)),タスク!$AB$5:$AB$300,0))),"")</f>
        <v/>
      </c>
      <c r="B288" s="53" t="str">
        <f>IFERROR(IF(SMALL(タスク!$AB$5:$AB$300,ROWS($A$7:A288))&gt;=1000000000000,"",INDEX(タスク!B$5:B$300,MATCH(SMALL(タスク!$AB$5:$AB$300,ROWS($A$7:A288)),タスク!$AB$5:$AB$300,0))),"")</f>
        <v/>
      </c>
      <c r="C288" s="53" t="str">
        <f>IFERROR(IF(SMALL(タスク!$AB$5:$AB$300,ROWS($A$7:A288))&gt;=1000000000000,"",INDEX(タスク!C$5:C$300,MATCH(SMALL(タスク!$AB$5:$AB$300,ROWS($A$7:A288)),タスク!$AB$5:$AB$300,0))),"")</f>
        <v/>
      </c>
      <c r="D288" s="53" t="str">
        <f>IFERROR(IF(SMALL(タスク!$AB$5:$AB$300,ROWS($A$7:A288))&gt;=1000000000000,"",INDEX(タスク!D$5:D$300,MATCH(SMALL(タスク!$AB$5:$AB$300,ROWS($A$7:A288)),タスク!$AB$5:$AB$300,0))),"")</f>
        <v/>
      </c>
      <c r="E288" s="53" t="str">
        <f>IFERROR(IF(SMALL(タスク!$AB$5:$AB$300,ROWS($A$7:A288))&gt;=1000000000000,"",INDEX(タスク!E$5:E$300,MATCH(SMALL(タスク!$AB$5:$AB$300,ROWS($A$7:A288)),タスク!$AB$5:$AB$300,0))),"")</f>
        <v/>
      </c>
      <c r="F288" s="53" t="str">
        <f>IFERROR(IF(SMALL(タスク!$AB$5:$AB$300,ROWS($A$7:A288))&gt;=1000000000000,"",INDEX(タスク!F$5:F$300,MATCH(SMALL(タスク!$AB$5:$AB$300,ROWS($A$7:A288)),タスク!$AB$5:$AB$300,0))),"")</f>
        <v/>
      </c>
      <c r="G288" s="53" t="str">
        <f>IFERROR(IF(SMALL(タスク!$AB$5:$AB$300,ROWS($A$7:A288))&gt;=1000000000000,"",INDEX(タスク!G$5:G$300,MATCH(SMALL(タスク!$AB$5:$AB$300,ROWS($A$7:A288)),タスク!$AB$5:$AB$300,0))),"")</f>
        <v/>
      </c>
      <c r="H288" s="53" t="str">
        <f>IFERROR(IF(SMALL(タスク!$AB$5:$AB$300,ROWS($A$7:A288))&gt;=1000000000000,"",INDEX(タスク!H$5:H$300,MATCH(SMALL(タスク!$AB$5:$AB$300,ROWS($A$7:A288)),タスク!$AB$5:$AB$300,0))),"")</f>
        <v/>
      </c>
      <c r="I288" s="53" t="str">
        <f>IFERROR(IF(SMALL(タスク!$AB$5:$AB$300,ROWS($A$7:A288))&gt;=1000000000000,"",INDEX(タスク!I$5:I$300,MATCH(SMALL(タスク!$AB$5:$AB$300,ROWS($A$7:A288)),タスク!$AB$5:$AB$300,0))),"")</f>
        <v/>
      </c>
      <c r="J288" s="53" t="str">
        <f>IFERROR(IF(SMALL(タスク!$AB$5:$AB$300,ROWS($A$7:A288))&gt;=1000000000000,"",INDEX(タスク!J$5:J$300,MATCH(SMALL(タスク!$AB$5:$AB$300,ROWS($A$7:A288)),タスク!$AB$5:$AB$300,0))),"")</f>
        <v/>
      </c>
    </row>
    <row r="289" spans="1:10">
      <c r="A289" s="53" t="str">
        <f>IFERROR(IF(SMALL(タスク!$AB$5:$AB$300,ROWS($A$7:A289))&gt;=1000000000000,"",INDEX(タスク!A$5:A$300,MATCH(SMALL(タスク!$AB$5:$AB$300,ROWS($A$7:A289)),タスク!$AB$5:$AB$300,0))),"")</f>
        <v/>
      </c>
      <c r="B289" s="53" t="str">
        <f>IFERROR(IF(SMALL(タスク!$AB$5:$AB$300,ROWS($A$7:A289))&gt;=1000000000000,"",INDEX(タスク!B$5:B$300,MATCH(SMALL(タスク!$AB$5:$AB$300,ROWS($A$7:A289)),タスク!$AB$5:$AB$300,0))),"")</f>
        <v/>
      </c>
      <c r="C289" s="53" t="str">
        <f>IFERROR(IF(SMALL(タスク!$AB$5:$AB$300,ROWS($A$7:A289))&gt;=1000000000000,"",INDEX(タスク!C$5:C$300,MATCH(SMALL(タスク!$AB$5:$AB$300,ROWS($A$7:A289)),タスク!$AB$5:$AB$300,0))),"")</f>
        <v/>
      </c>
      <c r="D289" s="53" t="str">
        <f>IFERROR(IF(SMALL(タスク!$AB$5:$AB$300,ROWS($A$7:A289))&gt;=1000000000000,"",INDEX(タスク!D$5:D$300,MATCH(SMALL(タスク!$AB$5:$AB$300,ROWS($A$7:A289)),タスク!$AB$5:$AB$300,0))),"")</f>
        <v/>
      </c>
      <c r="E289" s="53" t="str">
        <f>IFERROR(IF(SMALL(タスク!$AB$5:$AB$300,ROWS($A$7:A289))&gt;=1000000000000,"",INDEX(タスク!E$5:E$300,MATCH(SMALL(タスク!$AB$5:$AB$300,ROWS($A$7:A289)),タスク!$AB$5:$AB$300,0))),"")</f>
        <v/>
      </c>
      <c r="F289" s="53" t="str">
        <f>IFERROR(IF(SMALL(タスク!$AB$5:$AB$300,ROWS($A$7:A289))&gt;=1000000000000,"",INDEX(タスク!F$5:F$300,MATCH(SMALL(タスク!$AB$5:$AB$300,ROWS($A$7:A289)),タスク!$AB$5:$AB$300,0))),"")</f>
        <v/>
      </c>
      <c r="G289" s="53" t="str">
        <f>IFERROR(IF(SMALL(タスク!$AB$5:$AB$300,ROWS($A$7:A289))&gt;=1000000000000,"",INDEX(タスク!G$5:G$300,MATCH(SMALL(タスク!$AB$5:$AB$300,ROWS($A$7:A289)),タスク!$AB$5:$AB$300,0))),"")</f>
        <v/>
      </c>
      <c r="H289" s="53" t="str">
        <f>IFERROR(IF(SMALL(タスク!$AB$5:$AB$300,ROWS($A$7:A289))&gt;=1000000000000,"",INDEX(タスク!H$5:H$300,MATCH(SMALL(タスク!$AB$5:$AB$300,ROWS($A$7:A289)),タスク!$AB$5:$AB$300,0))),"")</f>
        <v/>
      </c>
      <c r="I289" s="53" t="str">
        <f>IFERROR(IF(SMALL(タスク!$AB$5:$AB$300,ROWS($A$7:A289))&gt;=1000000000000,"",INDEX(タスク!I$5:I$300,MATCH(SMALL(タスク!$AB$5:$AB$300,ROWS($A$7:A289)),タスク!$AB$5:$AB$300,0))),"")</f>
        <v/>
      </c>
      <c r="J289" s="53" t="str">
        <f>IFERROR(IF(SMALL(タスク!$AB$5:$AB$300,ROWS($A$7:A289))&gt;=1000000000000,"",INDEX(タスク!J$5:J$300,MATCH(SMALL(タスク!$AB$5:$AB$300,ROWS($A$7:A289)),タスク!$AB$5:$AB$300,0))),"")</f>
        <v/>
      </c>
    </row>
    <row r="290" spans="1:10">
      <c r="A290" s="53" t="str">
        <f>IFERROR(IF(SMALL(タスク!$AB$5:$AB$300,ROWS($A$7:A290))&gt;=1000000000000,"",INDEX(タスク!A$5:A$300,MATCH(SMALL(タスク!$AB$5:$AB$300,ROWS($A$7:A290)),タスク!$AB$5:$AB$300,0))),"")</f>
        <v/>
      </c>
      <c r="B290" s="53" t="str">
        <f>IFERROR(IF(SMALL(タスク!$AB$5:$AB$300,ROWS($A$7:A290))&gt;=1000000000000,"",INDEX(タスク!B$5:B$300,MATCH(SMALL(タスク!$AB$5:$AB$300,ROWS($A$7:A290)),タスク!$AB$5:$AB$300,0))),"")</f>
        <v/>
      </c>
      <c r="C290" s="53" t="str">
        <f>IFERROR(IF(SMALL(タスク!$AB$5:$AB$300,ROWS($A$7:A290))&gt;=1000000000000,"",INDEX(タスク!C$5:C$300,MATCH(SMALL(タスク!$AB$5:$AB$300,ROWS($A$7:A290)),タスク!$AB$5:$AB$300,0))),"")</f>
        <v/>
      </c>
      <c r="D290" s="53" t="str">
        <f>IFERROR(IF(SMALL(タスク!$AB$5:$AB$300,ROWS($A$7:A290))&gt;=1000000000000,"",INDEX(タスク!D$5:D$300,MATCH(SMALL(タスク!$AB$5:$AB$300,ROWS($A$7:A290)),タスク!$AB$5:$AB$300,0))),"")</f>
        <v/>
      </c>
      <c r="E290" s="53" t="str">
        <f>IFERROR(IF(SMALL(タスク!$AB$5:$AB$300,ROWS($A$7:A290))&gt;=1000000000000,"",INDEX(タスク!E$5:E$300,MATCH(SMALL(タスク!$AB$5:$AB$300,ROWS($A$7:A290)),タスク!$AB$5:$AB$300,0))),"")</f>
        <v/>
      </c>
      <c r="F290" s="53" t="str">
        <f>IFERROR(IF(SMALL(タスク!$AB$5:$AB$300,ROWS($A$7:A290))&gt;=1000000000000,"",INDEX(タスク!F$5:F$300,MATCH(SMALL(タスク!$AB$5:$AB$300,ROWS($A$7:A290)),タスク!$AB$5:$AB$300,0))),"")</f>
        <v/>
      </c>
      <c r="G290" s="53" t="str">
        <f>IFERROR(IF(SMALL(タスク!$AB$5:$AB$300,ROWS($A$7:A290))&gt;=1000000000000,"",INDEX(タスク!G$5:G$300,MATCH(SMALL(タスク!$AB$5:$AB$300,ROWS($A$7:A290)),タスク!$AB$5:$AB$300,0))),"")</f>
        <v/>
      </c>
      <c r="H290" s="53" t="str">
        <f>IFERROR(IF(SMALL(タスク!$AB$5:$AB$300,ROWS($A$7:A290))&gt;=1000000000000,"",INDEX(タスク!H$5:H$300,MATCH(SMALL(タスク!$AB$5:$AB$300,ROWS($A$7:A290)),タスク!$AB$5:$AB$300,0))),"")</f>
        <v/>
      </c>
      <c r="I290" s="53" t="str">
        <f>IFERROR(IF(SMALL(タスク!$AB$5:$AB$300,ROWS($A$7:A290))&gt;=1000000000000,"",INDEX(タスク!I$5:I$300,MATCH(SMALL(タスク!$AB$5:$AB$300,ROWS($A$7:A290)),タスク!$AB$5:$AB$300,0))),"")</f>
        <v/>
      </c>
      <c r="J290" s="53" t="str">
        <f>IFERROR(IF(SMALL(タスク!$AB$5:$AB$300,ROWS($A$7:A290))&gt;=1000000000000,"",INDEX(タスク!J$5:J$300,MATCH(SMALL(タスク!$AB$5:$AB$300,ROWS($A$7:A290)),タスク!$AB$5:$AB$300,0))),"")</f>
        <v/>
      </c>
    </row>
    <row r="291" spans="1:10">
      <c r="A291" s="53" t="str">
        <f>IFERROR(IF(SMALL(タスク!$AB$5:$AB$300,ROWS($A$7:A291))&gt;=1000000000000,"",INDEX(タスク!A$5:A$300,MATCH(SMALL(タスク!$AB$5:$AB$300,ROWS($A$7:A291)),タスク!$AB$5:$AB$300,0))),"")</f>
        <v/>
      </c>
      <c r="B291" s="53" t="str">
        <f>IFERROR(IF(SMALL(タスク!$AB$5:$AB$300,ROWS($A$7:A291))&gt;=1000000000000,"",INDEX(タスク!B$5:B$300,MATCH(SMALL(タスク!$AB$5:$AB$300,ROWS($A$7:A291)),タスク!$AB$5:$AB$300,0))),"")</f>
        <v/>
      </c>
      <c r="C291" s="53" t="str">
        <f>IFERROR(IF(SMALL(タスク!$AB$5:$AB$300,ROWS($A$7:A291))&gt;=1000000000000,"",INDEX(タスク!C$5:C$300,MATCH(SMALL(タスク!$AB$5:$AB$300,ROWS($A$7:A291)),タスク!$AB$5:$AB$300,0))),"")</f>
        <v/>
      </c>
      <c r="D291" s="53" t="str">
        <f>IFERROR(IF(SMALL(タスク!$AB$5:$AB$300,ROWS($A$7:A291))&gt;=1000000000000,"",INDEX(タスク!D$5:D$300,MATCH(SMALL(タスク!$AB$5:$AB$300,ROWS($A$7:A291)),タスク!$AB$5:$AB$300,0))),"")</f>
        <v/>
      </c>
      <c r="E291" s="53" t="str">
        <f>IFERROR(IF(SMALL(タスク!$AB$5:$AB$300,ROWS($A$7:A291))&gt;=1000000000000,"",INDEX(タスク!E$5:E$300,MATCH(SMALL(タスク!$AB$5:$AB$300,ROWS($A$7:A291)),タスク!$AB$5:$AB$300,0))),"")</f>
        <v/>
      </c>
      <c r="F291" s="53" t="str">
        <f>IFERROR(IF(SMALL(タスク!$AB$5:$AB$300,ROWS($A$7:A291))&gt;=1000000000000,"",INDEX(タスク!F$5:F$300,MATCH(SMALL(タスク!$AB$5:$AB$300,ROWS($A$7:A291)),タスク!$AB$5:$AB$300,0))),"")</f>
        <v/>
      </c>
      <c r="G291" s="53" t="str">
        <f>IFERROR(IF(SMALL(タスク!$AB$5:$AB$300,ROWS($A$7:A291))&gt;=1000000000000,"",INDEX(タスク!G$5:G$300,MATCH(SMALL(タスク!$AB$5:$AB$300,ROWS($A$7:A291)),タスク!$AB$5:$AB$300,0))),"")</f>
        <v/>
      </c>
      <c r="H291" s="53" t="str">
        <f>IFERROR(IF(SMALL(タスク!$AB$5:$AB$300,ROWS($A$7:A291))&gt;=1000000000000,"",INDEX(タスク!H$5:H$300,MATCH(SMALL(タスク!$AB$5:$AB$300,ROWS($A$7:A291)),タスク!$AB$5:$AB$300,0))),"")</f>
        <v/>
      </c>
      <c r="I291" s="53" t="str">
        <f>IFERROR(IF(SMALL(タスク!$AB$5:$AB$300,ROWS($A$7:A291))&gt;=1000000000000,"",INDEX(タスク!I$5:I$300,MATCH(SMALL(タスク!$AB$5:$AB$300,ROWS($A$7:A291)),タスク!$AB$5:$AB$300,0))),"")</f>
        <v/>
      </c>
      <c r="J291" s="53" t="str">
        <f>IFERROR(IF(SMALL(タスク!$AB$5:$AB$300,ROWS($A$7:A291))&gt;=1000000000000,"",INDEX(タスク!J$5:J$300,MATCH(SMALL(タスク!$AB$5:$AB$300,ROWS($A$7:A291)),タスク!$AB$5:$AB$300,0))),"")</f>
        <v/>
      </c>
    </row>
    <row r="292" spans="1:10">
      <c r="A292" s="53" t="str">
        <f>IFERROR(IF(SMALL(タスク!$AB$5:$AB$300,ROWS($A$7:A292))&gt;=1000000000000,"",INDEX(タスク!A$5:A$300,MATCH(SMALL(タスク!$AB$5:$AB$300,ROWS($A$7:A292)),タスク!$AB$5:$AB$300,0))),"")</f>
        <v/>
      </c>
      <c r="B292" s="53" t="str">
        <f>IFERROR(IF(SMALL(タスク!$AB$5:$AB$300,ROWS($A$7:A292))&gt;=1000000000000,"",INDEX(タスク!B$5:B$300,MATCH(SMALL(タスク!$AB$5:$AB$300,ROWS($A$7:A292)),タスク!$AB$5:$AB$300,0))),"")</f>
        <v/>
      </c>
      <c r="C292" s="53" t="str">
        <f>IFERROR(IF(SMALL(タスク!$AB$5:$AB$300,ROWS($A$7:A292))&gt;=1000000000000,"",INDEX(タスク!C$5:C$300,MATCH(SMALL(タスク!$AB$5:$AB$300,ROWS($A$7:A292)),タスク!$AB$5:$AB$300,0))),"")</f>
        <v/>
      </c>
      <c r="D292" s="53" t="str">
        <f>IFERROR(IF(SMALL(タスク!$AB$5:$AB$300,ROWS($A$7:A292))&gt;=1000000000000,"",INDEX(タスク!D$5:D$300,MATCH(SMALL(タスク!$AB$5:$AB$300,ROWS($A$7:A292)),タスク!$AB$5:$AB$300,0))),"")</f>
        <v/>
      </c>
      <c r="E292" s="53" t="str">
        <f>IFERROR(IF(SMALL(タスク!$AB$5:$AB$300,ROWS($A$7:A292))&gt;=1000000000000,"",INDEX(タスク!E$5:E$300,MATCH(SMALL(タスク!$AB$5:$AB$300,ROWS($A$7:A292)),タスク!$AB$5:$AB$300,0))),"")</f>
        <v/>
      </c>
      <c r="F292" s="53" t="str">
        <f>IFERROR(IF(SMALL(タスク!$AB$5:$AB$300,ROWS($A$7:A292))&gt;=1000000000000,"",INDEX(タスク!F$5:F$300,MATCH(SMALL(タスク!$AB$5:$AB$300,ROWS($A$7:A292)),タスク!$AB$5:$AB$300,0))),"")</f>
        <v/>
      </c>
      <c r="G292" s="53" t="str">
        <f>IFERROR(IF(SMALL(タスク!$AB$5:$AB$300,ROWS($A$7:A292))&gt;=1000000000000,"",INDEX(タスク!G$5:G$300,MATCH(SMALL(タスク!$AB$5:$AB$300,ROWS($A$7:A292)),タスク!$AB$5:$AB$300,0))),"")</f>
        <v/>
      </c>
      <c r="H292" s="53" t="str">
        <f>IFERROR(IF(SMALL(タスク!$AB$5:$AB$300,ROWS($A$7:A292))&gt;=1000000000000,"",INDEX(タスク!H$5:H$300,MATCH(SMALL(タスク!$AB$5:$AB$300,ROWS($A$7:A292)),タスク!$AB$5:$AB$300,0))),"")</f>
        <v/>
      </c>
      <c r="I292" s="53" t="str">
        <f>IFERROR(IF(SMALL(タスク!$AB$5:$AB$300,ROWS($A$7:A292))&gt;=1000000000000,"",INDEX(タスク!I$5:I$300,MATCH(SMALL(タスク!$AB$5:$AB$300,ROWS($A$7:A292)),タスク!$AB$5:$AB$300,0))),"")</f>
        <v/>
      </c>
      <c r="J292" s="53" t="str">
        <f>IFERROR(IF(SMALL(タスク!$AB$5:$AB$300,ROWS($A$7:A292))&gt;=1000000000000,"",INDEX(タスク!J$5:J$300,MATCH(SMALL(タスク!$AB$5:$AB$300,ROWS($A$7:A292)),タスク!$AB$5:$AB$300,0))),"")</f>
        <v/>
      </c>
    </row>
    <row r="293" spans="1:10">
      <c r="A293" s="53" t="str">
        <f>IFERROR(IF(SMALL(タスク!$AB$5:$AB$300,ROWS($A$7:A293))&gt;=1000000000000,"",INDEX(タスク!A$5:A$300,MATCH(SMALL(タスク!$AB$5:$AB$300,ROWS($A$7:A293)),タスク!$AB$5:$AB$300,0))),"")</f>
        <v/>
      </c>
      <c r="B293" s="53" t="str">
        <f>IFERROR(IF(SMALL(タスク!$AB$5:$AB$300,ROWS($A$7:A293))&gt;=1000000000000,"",INDEX(タスク!B$5:B$300,MATCH(SMALL(タスク!$AB$5:$AB$300,ROWS($A$7:A293)),タスク!$AB$5:$AB$300,0))),"")</f>
        <v/>
      </c>
      <c r="C293" s="53" t="str">
        <f>IFERROR(IF(SMALL(タスク!$AB$5:$AB$300,ROWS($A$7:A293))&gt;=1000000000000,"",INDEX(タスク!C$5:C$300,MATCH(SMALL(タスク!$AB$5:$AB$300,ROWS($A$7:A293)),タスク!$AB$5:$AB$300,0))),"")</f>
        <v/>
      </c>
      <c r="D293" s="53" t="str">
        <f>IFERROR(IF(SMALL(タスク!$AB$5:$AB$300,ROWS($A$7:A293))&gt;=1000000000000,"",INDEX(タスク!D$5:D$300,MATCH(SMALL(タスク!$AB$5:$AB$300,ROWS($A$7:A293)),タスク!$AB$5:$AB$300,0))),"")</f>
        <v/>
      </c>
      <c r="E293" s="53" t="str">
        <f>IFERROR(IF(SMALL(タスク!$AB$5:$AB$300,ROWS($A$7:A293))&gt;=1000000000000,"",INDEX(タスク!E$5:E$300,MATCH(SMALL(タスク!$AB$5:$AB$300,ROWS($A$7:A293)),タスク!$AB$5:$AB$300,0))),"")</f>
        <v/>
      </c>
      <c r="F293" s="53" t="str">
        <f>IFERROR(IF(SMALL(タスク!$AB$5:$AB$300,ROWS($A$7:A293))&gt;=1000000000000,"",INDEX(タスク!F$5:F$300,MATCH(SMALL(タスク!$AB$5:$AB$300,ROWS($A$7:A293)),タスク!$AB$5:$AB$300,0))),"")</f>
        <v/>
      </c>
      <c r="G293" s="53" t="str">
        <f>IFERROR(IF(SMALL(タスク!$AB$5:$AB$300,ROWS($A$7:A293))&gt;=1000000000000,"",INDEX(タスク!G$5:G$300,MATCH(SMALL(タスク!$AB$5:$AB$300,ROWS($A$7:A293)),タスク!$AB$5:$AB$300,0))),"")</f>
        <v/>
      </c>
      <c r="H293" s="53" t="str">
        <f>IFERROR(IF(SMALL(タスク!$AB$5:$AB$300,ROWS($A$7:A293))&gt;=1000000000000,"",INDEX(タスク!H$5:H$300,MATCH(SMALL(タスク!$AB$5:$AB$300,ROWS($A$7:A293)),タスク!$AB$5:$AB$300,0))),"")</f>
        <v/>
      </c>
      <c r="I293" s="53" t="str">
        <f>IFERROR(IF(SMALL(タスク!$AB$5:$AB$300,ROWS($A$7:A293))&gt;=1000000000000,"",INDEX(タスク!I$5:I$300,MATCH(SMALL(タスク!$AB$5:$AB$300,ROWS($A$7:A293)),タスク!$AB$5:$AB$300,0))),"")</f>
        <v/>
      </c>
      <c r="J293" s="53" t="str">
        <f>IFERROR(IF(SMALL(タスク!$AB$5:$AB$300,ROWS($A$7:A293))&gt;=1000000000000,"",INDEX(タスク!J$5:J$300,MATCH(SMALL(タスク!$AB$5:$AB$300,ROWS($A$7:A293)),タスク!$AB$5:$AB$300,0))),"")</f>
        <v/>
      </c>
    </row>
    <row r="294" spans="1:10">
      <c r="A294" s="53" t="str">
        <f>IFERROR(IF(SMALL(タスク!$AB$5:$AB$300,ROWS($A$7:A294))&gt;=1000000000000,"",INDEX(タスク!A$5:A$300,MATCH(SMALL(タスク!$AB$5:$AB$300,ROWS($A$7:A294)),タスク!$AB$5:$AB$300,0))),"")</f>
        <v/>
      </c>
      <c r="B294" s="53" t="str">
        <f>IFERROR(IF(SMALL(タスク!$AB$5:$AB$300,ROWS($A$7:A294))&gt;=1000000000000,"",INDEX(タスク!B$5:B$300,MATCH(SMALL(タスク!$AB$5:$AB$300,ROWS($A$7:A294)),タスク!$AB$5:$AB$300,0))),"")</f>
        <v/>
      </c>
      <c r="C294" s="53" t="str">
        <f>IFERROR(IF(SMALL(タスク!$AB$5:$AB$300,ROWS($A$7:A294))&gt;=1000000000000,"",INDEX(タスク!C$5:C$300,MATCH(SMALL(タスク!$AB$5:$AB$300,ROWS($A$7:A294)),タスク!$AB$5:$AB$300,0))),"")</f>
        <v/>
      </c>
      <c r="D294" s="53" t="str">
        <f>IFERROR(IF(SMALL(タスク!$AB$5:$AB$300,ROWS($A$7:A294))&gt;=1000000000000,"",INDEX(タスク!D$5:D$300,MATCH(SMALL(タスク!$AB$5:$AB$300,ROWS($A$7:A294)),タスク!$AB$5:$AB$300,0))),"")</f>
        <v/>
      </c>
      <c r="E294" s="53" t="str">
        <f>IFERROR(IF(SMALL(タスク!$AB$5:$AB$300,ROWS($A$7:A294))&gt;=1000000000000,"",INDEX(タスク!E$5:E$300,MATCH(SMALL(タスク!$AB$5:$AB$300,ROWS($A$7:A294)),タスク!$AB$5:$AB$300,0))),"")</f>
        <v/>
      </c>
      <c r="F294" s="53" t="str">
        <f>IFERROR(IF(SMALL(タスク!$AB$5:$AB$300,ROWS($A$7:A294))&gt;=1000000000000,"",INDEX(タスク!F$5:F$300,MATCH(SMALL(タスク!$AB$5:$AB$300,ROWS($A$7:A294)),タスク!$AB$5:$AB$300,0))),"")</f>
        <v/>
      </c>
      <c r="G294" s="53" t="str">
        <f>IFERROR(IF(SMALL(タスク!$AB$5:$AB$300,ROWS($A$7:A294))&gt;=1000000000000,"",INDEX(タスク!G$5:G$300,MATCH(SMALL(タスク!$AB$5:$AB$300,ROWS($A$7:A294)),タスク!$AB$5:$AB$300,0))),"")</f>
        <v/>
      </c>
      <c r="H294" s="53" t="str">
        <f>IFERROR(IF(SMALL(タスク!$AB$5:$AB$300,ROWS($A$7:A294))&gt;=1000000000000,"",INDEX(タスク!H$5:H$300,MATCH(SMALL(タスク!$AB$5:$AB$300,ROWS($A$7:A294)),タスク!$AB$5:$AB$300,0))),"")</f>
        <v/>
      </c>
      <c r="I294" s="53" t="str">
        <f>IFERROR(IF(SMALL(タスク!$AB$5:$AB$300,ROWS($A$7:A294))&gt;=1000000000000,"",INDEX(タスク!I$5:I$300,MATCH(SMALL(タスク!$AB$5:$AB$300,ROWS($A$7:A294)),タスク!$AB$5:$AB$300,0))),"")</f>
        <v/>
      </c>
      <c r="J294" s="53" t="str">
        <f>IFERROR(IF(SMALL(タスク!$AB$5:$AB$300,ROWS($A$7:A294))&gt;=1000000000000,"",INDEX(タスク!J$5:J$300,MATCH(SMALL(タスク!$AB$5:$AB$300,ROWS($A$7:A294)),タスク!$AB$5:$AB$300,0))),"")</f>
        <v/>
      </c>
    </row>
    <row r="295" spans="1:10">
      <c r="A295" s="53" t="str">
        <f>IFERROR(IF(SMALL(タスク!$AB$5:$AB$300,ROWS($A$7:A295))&gt;=1000000000000,"",INDEX(タスク!A$5:A$300,MATCH(SMALL(タスク!$AB$5:$AB$300,ROWS($A$7:A295)),タスク!$AB$5:$AB$300,0))),"")</f>
        <v/>
      </c>
      <c r="B295" s="53" t="str">
        <f>IFERROR(IF(SMALL(タスク!$AB$5:$AB$300,ROWS($A$7:A295))&gt;=1000000000000,"",INDEX(タスク!B$5:B$300,MATCH(SMALL(タスク!$AB$5:$AB$300,ROWS($A$7:A295)),タスク!$AB$5:$AB$300,0))),"")</f>
        <v/>
      </c>
      <c r="C295" s="53" t="str">
        <f>IFERROR(IF(SMALL(タスク!$AB$5:$AB$300,ROWS($A$7:A295))&gt;=1000000000000,"",INDEX(タスク!C$5:C$300,MATCH(SMALL(タスク!$AB$5:$AB$300,ROWS($A$7:A295)),タスク!$AB$5:$AB$300,0))),"")</f>
        <v/>
      </c>
      <c r="D295" s="53" t="str">
        <f>IFERROR(IF(SMALL(タスク!$AB$5:$AB$300,ROWS($A$7:A295))&gt;=1000000000000,"",INDEX(タスク!D$5:D$300,MATCH(SMALL(タスク!$AB$5:$AB$300,ROWS($A$7:A295)),タスク!$AB$5:$AB$300,0))),"")</f>
        <v/>
      </c>
      <c r="E295" s="53" t="str">
        <f>IFERROR(IF(SMALL(タスク!$AB$5:$AB$300,ROWS($A$7:A295))&gt;=1000000000000,"",INDEX(タスク!E$5:E$300,MATCH(SMALL(タスク!$AB$5:$AB$300,ROWS($A$7:A295)),タスク!$AB$5:$AB$300,0))),"")</f>
        <v/>
      </c>
      <c r="F295" s="53" t="str">
        <f>IFERROR(IF(SMALL(タスク!$AB$5:$AB$300,ROWS($A$7:A295))&gt;=1000000000000,"",INDEX(タスク!F$5:F$300,MATCH(SMALL(タスク!$AB$5:$AB$300,ROWS($A$7:A295)),タスク!$AB$5:$AB$300,0))),"")</f>
        <v/>
      </c>
      <c r="G295" s="53" t="str">
        <f>IFERROR(IF(SMALL(タスク!$AB$5:$AB$300,ROWS($A$7:A295))&gt;=1000000000000,"",INDEX(タスク!G$5:G$300,MATCH(SMALL(タスク!$AB$5:$AB$300,ROWS($A$7:A295)),タスク!$AB$5:$AB$300,0))),"")</f>
        <v/>
      </c>
      <c r="H295" s="53" t="str">
        <f>IFERROR(IF(SMALL(タスク!$AB$5:$AB$300,ROWS($A$7:A295))&gt;=1000000000000,"",INDEX(タスク!H$5:H$300,MATCH(SMALL(タスク!$AB$5:$AB$300,ROWS($A$7:A295)),タスク!$AB$5:$AB$300,0))),"")</f>
        <v/>
      </c>
      <c r="I295" s="53" t="str">
        <f>IFERROR(IF(SMALL(タスク!$AB$5:$AB$300,ROWS($A$7:A295))&gt;=1000000000000,"",INDEX(タスク!I$5:I$300,MATCH(SMALL(タスク!$AB$5:$AB$300,ROWS($A$7:A295)),タスク!$AB$5:$AB$300,0))),"")</f>
        <v/>
      </c>
      <c r="J295" s="53" t="str">
        <f>IFERROR(IF(SMALL(タスク!$AB$5:$AB$300,ROWS($A$7:A295))&gt;=1000000000000,"",INDEX(タスク!J$5:J$300,MATCH(SMALL(タスク!$AB$5:$AB$300,ROWS($A$7:A295)),タスク!$AB$5:$AB$300,0))),"")</f>
        <v/>
      </c>
    </row>
    <row r="296" spans="1:10">
      <c r="A296" s="53" t="str">
        <f>IFERROR(IF(SMALL(タスク!$AB$5:$AB$300,ROWS($A$7:A296))&gt;=1000000000000,"",INDEX(タスク!A$5:A$300,MATCH(SMALL(タスク!$AB$5:$AB$300,ROWS($A$7:A296)),タスク!$AB$5:$AB$300,0))),"")</f>
        <v/>
      </c>
      <c r="B296" s="53" t="str">
        <f>IFERROR(IF(SMALL(タスク!$AB$5:$AB$300,ROWS($A$7:A296))&gt;=1000000000000,"",INDEX(タスク!B$5:B$300,MATCH(SMALL(タスク!$AB$5:$AB$300,ROWS($A$7:A296)),タスク!$AB$5:$AB$300,0))),"")</f>
        <v/>
      </c>
      <c r="C296" s="53" t="str">
        <f>IFERROR(IF(SMALL(タスク!$AB$5:$AB$300,ROWS($A$7:A296))&gt;=1000000000000,"",INDEX(タスク!C$5:C$300,MATCH(SMALL(タスク!$AB$5:$AB$300,ROWS($A$7:A296)),タスク!$AB$5:$AB$300,0))),"")</f>
        <v/>
      </c>
      <c r="D296" s="53" t="str">
        <f>IFERROR(IF(SMALL(タスク!$AB$5:$AB$300,ROWS($A$7:A296))&gt;=1000000000000,"",INDEX(タスク!D$5:D$300,MATCH(SMALL(タスク!$AB$5:$AB$300,ROWS($A$7:A296)),タスク!$AB$5:$AB$300,0))),"")</f>
        <v/>
      </c>
      <c r="E296" s="53" t="str">
        <f>IFERROR(IF(SMALL(タスク!$AB$5:$AB$300,ROWS($A$7:A296))&gt;=1000000000000,"",INDEX(タスク!E$5:E$300,MATCH(SMALL(タスク!$AB$5:$AB$300,ROWS($A$7:A296)),タスク!$AB$5:$AB$300,0))),"")</f>
        <v/>
      </c>
      <c r="F296" s="53" t="str">
        <f>IFERROR(IF(SMALL(タスク!$AB$5:$AB$300,ROWS($A$7:A296))&gt;=1000000000000,"",INDEX(タスク!F$5:F$300,MATCH(SMALL(タスク!$AB$5:$AB$300,ROWS($A$7:A296)),タスク!$AB$5:$AB$300,0))),"")</f>
        <v/>
      </c>
      <c r="G296" s="53" t="str">
        <f>IFERROR(IF(SMALL(タスク!$AB$5:$AB$300,ROWS($A$7:A296))&gt;=1000000000000,"",INDEX(タスク!G$5:G$300,MATCH(SMALL(タスク!$AB$5:$AB$300,ROWS($A$7:A296)),タスク!$AB$5:$AB$300,0))),"")</f>
        <v/>
      </c>
      <c r="H296" s="53" t="str">
        <f>IFERROR(IF(SMALL(タスク!$AB$5:$AB$300,ROWS($A$7:A296))&gt;=1000000000000,"",INDEX(タスク!H$5:H$300,MATCH(SMALL(タスク!$AB$5:$AB$300,ROWS($A$7:A296)),タスク!$AB$5:$AB$300,0))),"")</f>
        <v/>
      </c>
      <c r="I296" s="53" t="str">
        <f>IFERROR(IF(SMALL(タスク!$AB$5:$AB$300,ROWS($A$7:A296))&gt;=1000000000000,"",INDEX(タスク!I$5:I$300,MATCH(SMALL(タスク!$AB$5:$AB$300,ROWS($A$7:A296)),タスク!$AB$5:$AB$300,0))),"")</f>
        <v/>
      </c>
      <c r="J296" s="53" t="str">
        <f>IFERROR(IF(SMALL(タスク!$AB$5:$AB$300,ROWS($A$7:A296))&gt;=1000000000000,"",INDEX(タスク!J$5:J$300,MATCH(SMALL(タスク!$AB$5:$AB$300,ROWS($A$7:A296)),タスク!$AB$5:$AB$300,0))),"")</f>
        <v/>
      </c>
    </row>
    <row r="297" spans="1:10">
      <c r="A297" s="53" t="str">
        <f>IFERROR(IF(SMALL(タスク!$AB$5:$AB$300,ROWS($A$7:A297))&gt;=1000000000000,"",INDEX(タスク!A$5:A$300,MATCH(SMALL(タスク!$AB$5:$AB$300,ROWS($A$7:A297)),タスク!$AB$5:$AB$300,0))),"")</f>
        <v/>
      </c>
      <c r="B297" s="53" t="str">
        <f>IFERROR(IF(SMALL(タスク!$AB$5:$AB$300,ROWS($A$7:A297))&gt;=1000000000000,"",INDEX(タスク!B$5:B$300,MATCH(SMALL(タスク!$AB$5:$AB$300,ROWS($A$7:A297)),タスク!$AB$5:$AB$300,0))),"")</f>
        <v/>
      </c>
      <c r="C297" s="53" t="str">
        <f>IFERROR(IF(SMALL(タスク!$AB$5:$AB$300,ROWS($A$7:A297))&gt;=1000000000000,"",INDEX(タスク!C$5:C$300,MATCH(SMALL(タスク!$AB$5:$AB$300,ROWS($A$7:A297)),タスク!$AB$5:$AB$300,0))),"")</f>
        <v/>
      </c>
      <c r="D297" s="53" t="str">
        <f>IFERROR(IF(SMALL(タスク!$AB$5:$AB$300,ROWS($A$7:A297))&gt;=1000000000000,"",INDEX(タスク!D$5:D$300,MATCH(SMALL(タスク!$AB$5:$AB$300,ROWS($A$7:A297)),タスク!$AB$5:$AB$300,0))),"")</f>
        <v/>
      </c>
      <c r="E297" s="53" t="str">
        <f>IFERROR(IF(SMALL(タスク!$AB$5:$AB$300,ROWS($A$7:A297))&gt;=1000000000000,"",INDEX(タスク!E$5:E$300,MATCH(SMALL(タスク!$AB$5:$AB$300,ROWS($A$7:A297)),タスク!$AB$5:$AB$300,0))),"")</f>
        <v/>
      </c>
      <c r="F297" s="53" t="str">
        <f>IFERROR(IF(SMALL(タスク!$AB$5:$AB$300,ROWS($A$7:A297))&gt;=1000000000000,"",INDEX(タスク!F$5:F$300,MATCH(SMALL(タスク!$AB$5:$AB$300,ROWS($A$7:A297)),タスク!$AB$5:$AB$300,0))),"")</f>
        <v/>
      </c>
      <c r="G297" s="53" t="str">
        <f>IFERROR(IF(SMALL(タスク!$AB$5:$AB$300,ROWS($A$7:A297))&gt;=1000000000000,"",INDEX(タスク!G$5:G$300,MATCH(SMALL(タスク!$AB$5:$AB$300,ROWS($A$7:A297)),タスク!$AB$5:$AB$300,0))),"")</f>
        <v/>
      </c>
      <c r="H297" s="53" t="str">
        <f>IFERROR(IF(SMALL(タスク!$AB$5:$AB$300,ROWS($A$7:A297))&gt;=1000000000000,"",INDEX(タスク!H$5:H$300,MATCH(SMALL(タスク!$AB$5:$AB$300,ROWS($A$7:A297)),タスク!$AB$5:$AB$300,0))),"")</f>
        <v/>
      </c>
      <c r="I297" s="53" t="str">
        <f>IFERROR(IF(SMALL(タスク!$AB$5:$AB$300,ROWS($A$7:A297))&gt;=1000000000000,"",INDEX(タスク!I$5:I$300,MATCH(SMALL(タスク!$AB$5:$AB$300,ROWS($A$7:A297)),タスク!$AB$5:$AB$300,0))),"")</f>
        <v/>
      </c>
      <c r="J297" s="53" t="str">
        <f>IFERROR(IF(SMALL(タスク!$AB$5:$AB$300,ROWS($A$7:A297))&gt;=1000000000000,"",INDEX(タスク!J$5:J$300,MATCH(SMALL(タスク!$AB$5:$AB$300,ROWS($A$7:A297)),タスク!$AB$5:$AB$300,0))),"")</f>
        <v/>
      </c>
    </row>
    <row r="298" spans="1:10">
      <c r="A298" s="53" t="str">
        <f>IFERROR(IF(SMALL(タスク!$AB$5:$AB$300,ROWS($A$7:A298))&gt;=1000000000000,"",INDEX(タスク!A$5:A$300,MATCH(SMALL(タスク!$AB$5:$AB$300,ROWS($A$7:A298)),タスク!$AB$5:$AB$300,0))),"")</f>
        <v/>
      </c>
      <c r="B298" s="53" t="str">
        <f>IFERROR(IF(SMALL(タスク!$AB$5:$AB$300,ROWS($A$7:A298))&gt;=1000000000000,"",INDEX(タスク!B$5:B$300,MATCH(SMALL(タスク!$AB$5:$AB$300,ROWS($A$7:A298)),タスク!$AB$5:$AB$300,0))),"")</f>
        <v/>
      </c>
      <c r="C298" s="53" t="str">
        <f>IFERROR(IF(SMALL(タスク!$AB$5:$AB$300,ROWS($A$7:A298))&gt;=1000000000000,"",INDEX(タスク!C$5:C$300,MATCH(SMALL(タスク!$AB$5:$AB$300,ROWS($A$7:A298)),タスク!$AB$5:$AB$300,0))),"")</f>
        <v/>
      </c>
      <c r="D298" s="53" t="str">
        <f>IFERROR(IF(SMALL(タスク!$AB$5:$AB$300,ROWS($A$7:A298))&gt;=1000000000000,"",INDEX(タスク!D$5:D$300,MATCH(SMALL(タスク!$AB$5:$AB$300,ROWS($A$7:A298)),タスク!$AB$5:$AB$300,0))),"")</f>
        <v/>
      </c>
      <c r="E298" s="53" t="str">
        <f>IFERROR(IF(SMALL(タスク!$AB$5:$AB$300,ROWS($A$7:A298))&gt;=1000000000000,"",INDEX(タスク!E$5:E$300,MATCH(SMALL(タスク!$AB$5:$AB$300,ROWS($A$7:A298)),タスク!$AB$5:$AB$300,0))),"")</f>
        <v/>
      </c>
      <c r="F298" s="53" t="str">
        <f>IFERROR(IF(SMALL(タスク!$AB$5:$AB$300,ROWS($A$7:A298))&gt;=1000000000000,"",INDEX(タスク!F$5:F$300,MATCH(SMALL(タスク!$AB$5:$AB$300,ROWS($A$7:A298)),タスク!$AB$5:$AB$300,0))),"")</f>
        <v/>
      </c>
      <c r="G298" s="53" t="str">
        <f>IFERROR(IF(SMALL(タスク!$AB$5:$AB$300,ROWS($A$7:A298))&gt;=1000000000000,"",INDEX(タスク!G$5:G$300,MATCH(SMALL(タスク!$AB$5:$AB$300,ROWS($A$7:A298)),タスク!$AB$5:$AB$300,0))),"")</f>
        <v/>
      </c>
      <c r="H298" s="53" t="str">
        <f>IFERROR(IF(SMALL(タスク!$AB$5:$AB$300,ROWS($A$7:A298))&gt;=1000000000000,"",INDEX(タスク!H$5:H$300,MATCH(SMALL(タスク!$AB$5:$AB$300,ROWS($A$7:A298)),タスク!$AB$5:$AB$300,0))),"")</f>
        <v/>
      </c>
      <c r="I298" s="53" t="str">
        <f>IFERROR(IF(SMALL(タスク!$AB$5:$AB$300,ROWS($A$7:A298))&gt;=1000000000000,"",INDEX(タスク!I$5:I$300,MATCH(SMALL(タスク!$AB$5:$AB$300,ROWS($A$7:A298)),タスク!$AB$5:$AB$300,0))),"")</f>
        <v/>
      </c>
      <c r="J298" s="53" t="str">
        <f>IFERROR(IF(SMALL(タスク!$AB$5:$AB$300,ROWS($A$7:A298))&gt;=1000000000000,"",INDEX(タスク!J$5:J$300,MATCH(SMALL(タスク!$AB$5:$AB$300,ROWS($A$7:A298)),タスク!$AB$5:$AB$300,0))),"")</f>
        <v/>
      </c>
    </row>
    <row r="299" spans="1:10">
      <c r="A299" s="53" t="str">
        <f>IFERROR(IF(SMALL(タスク!$AB$5:$AB$300,ROWS($A$7:A299))&gt;=1000000000000,"",INDEX(タスク!A$5:A$300,MATCH(SMALL(タスク!$AB$5:$AB$300,ROWS($A$7:A299)),タスク!$AB$5:$AB$300,0))),"")</f>
        <v/>
      </c>
      <c r="B299" s="53" t="str">
        <f>IFERROR(IF(SMALL(タスク!$AB$5:$AB$300,ROWS($A$7:A299))&gt;=1000000000000,"",INDEX(タスク!B$5:B$300,MATCH(SMALL(タスク!$AB$5:$AB$300,ROWS($A$7:A299)),タスク!$AB$5:$AB$300,0))),"")</f>
        <v/>
      </c>
      <c r="C299" s="53" t="str">
        <f>IFERROR(IF(SMALL(タスク!$AB$5:$AB$300,ROWS($A$7:A299))&gt;=1000000000000,"",INDEX(タスク!C$5:C$300,MATCH(SMALL(タスク!$AB$5:$AB$300,ROWS($A$7:A299)),タスク!$AB$5:$AB$300,0))),"")</f>
        <v/>
      </c>
      <c r="D299" s="53" t="str">
        <f>IFERROR(IF(SMALL(タスク!$AB$5:$AB$300,ROWS($A$7:A299))&gt;=1000000000000,"",INDEX(タスク!D$5:D$300,MATCH(SMALL(タスク!$AB$5:$AB$300,ROWS($A$7:A299)),タスク!$AB$5:$AB$300,0))),"")</f>
        <v/>
      </c>
      <c r="E299" s="53" t="str">
        <f>IFERROR(IF(SMALL(タスク!$AB$5:$AB$300,ROWS($A$7:A299))&gt;=1000000000000,"",INDEX(タスク!E$5:E$300,MATCH(SMALL(タスク!$AB$5:$AB$300,ROWS($A$7:A299)),タスク!$AB$5:$AB$300,0))),"")</f>
        <v/>
      </c>
      <c r="F299" s="53" t="str">
        <f>IFERROR(IF(SMALL(タスク!$AB$5:$AB$300,ROWS($A$7:A299))&gt;=1000000000000,"",INDEX(タスク!F$5:F$300,MATCH(SMALL(タスク!$AB$5:$AB$300,ROWS($A$7:A299)),タスク!$AB$5:$AB$300,0))),"")</f>
        <v/>
      </c>
      <c r="G299" s="53" t="str">
        <f>IFERROR(IF(SMALL(タスク!$AB$5:$AB$300,ROWS($A$7:A299))&gt;=1000000000000,"",INDEX(タスク!G$5:G$300,MATCH(SMALL(タスク!$AB$5:$AB$300,ROWS($A$7:A299)),タスク!$AB$5:$AB$300,0))),"")</f>
        <v/>
      </c>
      <c r="H299" s="53" t="str">
        <f>IFERROR(IF(SMALL(タスク!$AB$5:$AB$300,ROWS($A$7:A299))&gt;=1000000000000,"",INDEX(タスク!H$5:H$300,MATCH(SMALL(タスク!$AB$5:$AB$300,ROWS($A$7:A299)),タスク!$AB$5:$AB$300,0))),"")</f>
        <v/>
      </c>
      <c r="I299" s="53" t="str">
        <f>IFERROR(IF(SMALL(タスク!$AB$5:$AB$300,ROWS($A$7:A299))&gt;=1000000000000,"",INDEX(タスク!I$5:I$300,MATCH(SMALL(タスク!$AB$5:$AB$300,ROWS($A$7:A299)),タスク!$AB$5:$AB$300,0))),"")</f>
        <v/>
      </c>
      <c r="J299" s="53" t="str">
        <f>IFERROR(IF(SMALL(タスク!$AB$5:$AB$300,ROWS($A$7:A299))&gt;=1000000000000,"",INDEX(タスク!J$5:J$300,MATCH(SMALL(タスク!$AB$5:$AB$300,ROWS($A$7:A299)),タスク!$AB$5:$AB$300,0))),"")</f>
        <v/>
      </c>
    </row>
    <row r="300" spans="1:10">
      <c r="A300" s="54" t="str">
        <f>IFERROR(IF(SMALL(タスク!$AB$5:$AB$300,ROWS($A$7:A300))&gt;=1000000000000,"",INDEX(タスク!A$5:A$300,MATCH(SMALL(タスク!$AB$5:$AB$300,ROWS($A$7:A300)),タスク!$AB$5:$AB$300,0))),"")</f>
        <v/>
      </c>
      <c r="B300" s="54" t="str">
        <f>IFERROR(IF(SMALL(タスク!$AB$5:$AB$300,ROWS($A$7:A300))&gt;=1000000000000,"",INDEX(タスク!B$5:B$300,MATCH(SMALL(タスク!$AB$5:$AB$300,ROWS($A$7:A300)),タスク!$AB$5:$AB$300,0))),"")</f>
        <v/>
      </c>
      <c r="C300" s="54" t="str">
        <f>IFERROR(IF(SMALL(タスク!$AB$5:$AB$300,ROWS($A$7:A300))&gt;=1000000000000,"",INDEX(タスク!C$5:C$300,MATCH(SMALL(タスク!$AB$5:$AB$300,ROWS($A$7:A300)),タスク!$AB$5:$AB$300,0))),"")</f>
        <v/>
      </c>
      <c r="D300" s="54" t="str">
        <f>IFERROR(IF(SMALL(タスク!$AB$5:$AB$300,ROWS($A$7:A300))&gt;=1000000000000,"",INDEX(タスク!D$5:D$300,MATCH(SMALL(タスク!$AB$5:$AB$300,ROWS($A$7:A300)),タスク!$AB$5:$AB$300,0))),"")</f>
        <v/>
      </c>
      <c r="E300" s="54" t="str">
        <f>IFERROR(IF(SMALL(タスク!$AB$5:$AB$300,ROWS($A$7:A300))&gt;=1000000000000,"",INDEX(タスク!E$5:E$300,MATCH(SMALL(タスク!$AB$5:$AB$300,ROWS($A$7:A300)),タスク!$AB$5:$AB$300,0))),"")</f>
        <v/>
      </c>
      <c r="F300" s="54" t="str">
        <f>IFERROR(IF(SMALL(タスク!$AB$5:$AB$300,ROWS($A$7:A300))&gt;=1000000000000,"",INDEX(タスク!F$5:F$300,MATCH(SMALL(タスク!$AB$5:$AB$300,ROWS($A$7:A300)),タスク!$AB$5:$AB$300,0))),"")</f>
        <v/>
      </c>
      <c r="G300" s="54" t="str">
        <f>IFERROR(IF(SMALL(タスク!$AB$5:$AB$300,ROWS($A$7:A300))&gt;=1000000000000,"",INDEX(タスク!G$5:G$300,MATCH(SMALL(タスク!$AB$5:$AB$300,ROWS($A$7:A300)),タスク!$AB$5:$AB$300,0))),"")</f>
        <v/>
      </c>
      <c r="H300" s="54" t="str">
        <f>IFERROR(IF(SMALL(タスク!$AB$5:$AB$300,ROWS($A$7:A300))&gt;=1000000000000,"",INDEX(タスク!H$5:H$300,MATCH(SMALL(タスク!$AB$5:$AB$300,ROWS($A$7:A300)),タスク!$AB$5:$AB$300,0))),"")</f>
        <v/>
      </c>
      <c r="I300" s="54" t="str">
        <f>IFERROR(IF(SMALL(タスク!$AB$5:$AB$300,ROWS($A$7:A300))&gt;=1000000000000,"",INDEX(タスク!I$5:I$300,MATCH(SMALL(タスク!$AB$5:$AB$300,ROWS($A$7:A300)),タスク!$AB$5:$AB$300,0))),"")</f>
        <v/>
      </c>
      <c r="J300" s="54" t="str">
        <f>IFERROR(IF(SMALL(タスク!$AB$5:$AB$300,ROWS($A$7:A300))&gt;=1000000000000,"",INDEX(タスク!J$5:J$300,MATCH(SMALL(タスク!$AB$5:$AB$300,ROWS($A$7:A300)),タスク!$AB$5:$AB$300,0))),"")</f>
        <v/>
      </c>
    </row>
    <row r="301" spans="1:10">
      <c r="A301" t="str">
        <f>IFERROR(IF(SMALL(タスク!$AB$5:$AB$300,ROWS($A$7:A301))&gt;=1000000000000,"",INDEX(タスク!A$5:A$300,MATCH(SMALL(タスク!$AB$5:$AB$300,ROWS($A$7:A301)),タスク!$AB$5:$AB$300,0))),"")</f>
        <v/>
      </c>
      <c r="B301" t="str">
        <f>IFERROR(IF(SMALL(タスク!$AB$5:$AB$300,ROWS($A$7:A301))&gt;=1000000000000,"",INDEX(タスク!B$5:B$300,MATCH(SMALL(タスク!$AB$5:$AB$300,ROWS($A$7:A301)),タスク!$AB$5:$AB$300,0))),"")</f>
        <v/>
      </c>
      <c r="C301" t="str">
        <f>IFERROR(IF(SMALL(タスク!$AB$5:$AB$300,ROWS($A$7:A301))&gt;=1000000000000,"",INDEX(タスク!C$5:C$300,MATCH(SMALL(タスク!$AB$5:$AB$300,ROWS($A$7:A301)),タスク!$AB$5:$AB$300,0))),"")</f>
        <v/>
      </c>
      <c r="D301" t="str">
        <f>IFERROR(IF(SMALL(タスク!$AB$5:$AB$300,ROWS($A$7:A301))&gt;=1000000000000,"",INDEX(タスク!D$5:D$300,MATCH(SMALL(タスク!$AB$5:$AB$300,ROWS($A$7:A301)),タスク!$AB$5:$AB$300,0))),"")</f>
        <v/>
      </c>
      <c r="E301" t="str">
        <f>IFERROR(IF(SMALL(タスク!$AB$5:$AB$300,ROWS($A$7:A301))&gt;=1000000000000,"",INDEX(タスク!E$5:E$300,MATCH(SMALL(タスク!$AB$5:$AB$300,ROWS($A$7:A301)),タスク!$AB$5:$AB$300,0))),"")</f>
        <v/>
      </c>
      <c r="F301" t="str">
        <f>IFERROR(IF(SMALL(タスク!$AB$5:$AB$300,ROWS($A$7:A301))&gt;=1000000000000,"",INDEX(タスク!F$5:F$300,MATCH(SMALL(タスク!$AB$5:$AB$300,ROWS($A$7:A301)),タスク!$AB$5:$AB$300,0))),"")</f>
        <v/>
      </c>
      <c r="G301" t="str">
        <f>IFERROR(IF(SMALL(タスク!$AB$5:$AB$300,ROWS($A$7:A301))&gt;=1000000000000,"",INDEX(タスク!G$5:G$300,MATCH(SMALL(タスク!$AB$5:$AB$300,ROWS($A$7:A301)),タスク!$AB$5:$AB$300,0))),"")</f>
        <v/>
      </c>
      <c r="H301" t="str">
        <f>IFERROR(IF(SMALL(タスク!$AB$5:$AB$300,ROWS($A$7:A301))&gt;=1000000000000,"",INDEX(タスク!H$5:H$300,MATCH(SMALL(タスク!$AB$5:$AB$300,ROWS($A$7:A301)),タスク!$AB$5:$AB$300,0))),"")</f>
        <v/>
      </c>
      <c r="I301" t="str">
        <f>IFERROR(IF(SMALL(タスク!$AB$5:$AB$300,ROWS($A$7:A301))&gt;=1000000000000,"",INDEX(タスク!I$5:I$300,MATCH(SMALL(タスク!$AB$5:$AB$300,ROWS($A$7:A301)),タスク!$AB$5:$AB$300,0))),"")</f>
        <v/>
      </c>
      <c r="J301" t="str">
        <f>IFERROR(IF(SMALL(タスク!$AB$5:$AB$300,ROWS($A$7:A301))&gt;=1000000000000,"",INDEX(タスク!J$5:J$300,MATCH(SMALL(タスク!$AB$5:$AB$300,ROWS($A$7:A301)),タスク!$AB$5:$AB$300,0))),"")</f>
        <v/>
      </c>
    </row>
    <row r="302" spans="1:10">
      <c r="A302" t="str">
        <f>IFERROR(IF(SMALL(タスク!$AB$5:$AB$300,ROWS($A$7:A302))&gt;=1000000000000,"",INDEX(タスク!A$5:A$300,MATCH(SMALL(タスク!$AB$5:$AB$300,ROWS($A$7:A302)),タスク!$AB$5:$AB$300,0))),"")</f>
        <v/>
      </c>
      <c r="B302" t="str">
        <f>IFERROR(IF(SMALL(タスク!$AB$5:$AB$300,ROWS($A$7:A302))&gt;=1000000000000,"",INDEX(タスク!B$5:B$300,MATCH(SMALL(タスク!$AB$5:$AB$300,ROWS($A$7:A302)),タスク!$AB$5:$AB$300,0))),"")</f>
        <v/>
      </c>
      <c r="C302" t="str">
        <f>IFERROR(IF(SMALL(タスク!$AB$5:$AB$300,ROWS($A$7:A302))&gt;=1000000000000,"",INDEX(タスク!C$5:C$300,MATCH(SMALL(タスク!$AB$5:$AB$300,ROWS($A$7:A302)),タスク!$AB$5:$AB$300,0))),"")</f>
        <v/>
      </c>
      <c r="D302" t="str">
        <f>IFERROR(IF(SMALL(タスク!$AB$5:$AB$300,ROWS($A$7:A302))&gt;=1000000000000,"",INDEX(タスク!D$5:D$300,MATCH(SMALL(タスク!$AB$5:$AB$300,ROWS($A$7:A302)),タスク!$AB$5:$AB$300,0))),"")</f>
        <v/>
      </c>
      <c r="E302" t="str">
        <f>IFERROR(IF(SMALL(タスク!$AB$5:$AB$300,ROWS($A$7:A302))&gt;=1000000000000,"",INDEX(タスク!E$5:E$300,MATCH(SMALL(タスク!$AB$5:$AB$300,ROWS($A$7:A302)),タスク!$AB$5:$AB$300,0))),"")</f>
        <v/>
      </c>
      <c r="F302" t="str">
        <f>IFERROR(IF(SMALL(タスク!$AB$5:$AB$300,ROWS($A$7:A302))&gt;=1000000000000,"",INDEX(タスク!F$5:F$300,MATCH(SMALL(タスク!$AB$5:$AB$300,ROWS($A$7:A302)),タスク!$AB$5:$AB$300,0))),"")</f>
        <v/>
      </c>
      <c r="G302" t="str">
        <f>IFERROR(IF(SMALL(タスク!$AB$5:$AB$300,ROWS($A$7:A302))&gt;=1000000000000,"",INDEX(タスク!G$5:G$300,MATCH(SMALL(タスク!$AB$5:$AB$300,ROWS($A$7:A302)),タスク!$AB$5:$AB$300,0))),"")</f>
        <v/>
      </c>
      <c r="H302" t="str">
        <f>IFERROR(IF(SMALL(タスク!$AB$5:$AB$300,ROWS($A$7:A302))&gt;=1000000000000,"",INDEX(タスク!H$5:H$300,MATCH(SMALL(タスク!$AB$5:$AB$300,ROWS($A$7:A302)),タスク!$AB$5:$AB$300,0))),"")</f>
        <v/>
      </c>
      <c r="I302" t="str">
        <f>IFERROR(IF(SMALL(タスク!$AB$5:$AB$300,ROWS($A$7:A302))&gt;=1000000000000,"",INDEX(タスク!I$5:I$300,MATCH(SMALL(タスク!$AB$5:$AB$300,ROWS($A$7:A302)),タスク!$AB$5:$AB$300,0))),"")</f>
        <v/>
      </c>
      <c r="J302" t="str">
        <f>IFERROR(IF(SMALL(タスク!$AB$5:$AB$300,ROWS($A$7:A302))&gt;=1000000000000,"",INDEX(タスク!J$5:J$300,MATCH(SMALL(タスク!$AB$5:$AB$300,ROWS($A$7:A302)),タスク!$AB$5:$AB$300,0))),"")</f>
        <v/>
      </c>
    </row>
    <row r="303" spans="1:10">
      <c r="A303" t="str">
        <f>IFERROR(IF(SMALL(タスク!$AB$5:$AB$300,ROWS($A$7:A303))&gt;=1000000000000,"",INDEX(タスク!A$5:A$300,MATCH(SMALL(タスク!$AB$5:$AB$300,ROWS($A$7:A303)),タスク!$AB$5:$AB$300,0))),"")</f>
        <v/>
      </c>
      <c r="B303" t="str">
        <f>IFERROR(IF(SMALL(タスク!$AB$5:$AB$300,ROWS($A$7:A303))&gt;=1000000000000,"",INDEX(タスク!B$5:B$300,MATCH(SMALL(タスク!$AB$5:$AB$300,ROWS($A$7:A303)),タスク!$AB$5:$AB$300,0))),"")</f>
        <v/>
      </c>
      <c r="C303" t="str">
        <f>IFERROR(IF(SMALL(タスク!$AB$5:$AB$300,ROWS($A$7:A303))&gt;=1000000000000,"",INDEX(タスク!C$5:C$300,MATCH(SMALL(タスク!$AB$5:$AB$300,ROWS($A$7:A303)),タスク!$AB$5:$AB$300,0))),"")</f>
        <v/>
      </c>
      <c r="D303" t="str">
        <f>IFERROR(IF(SMALL(タスク!$AB$5:$AB$300,ROWS($A$7:A303))&gt;=1000000000000,"",INDEX(タスク!D$5:D$300,MATCH(SMALL(タスク!$AB$5:$AB$300,ROWS($A$7:A303)),タスク!$AB$5:$AB$300,0))),"")</f>
        <v/>
      </c>
      <c r="E303" t="str">
        <f>IFERROR(IF(SMALL(タスク!$AB$5:$AB$300,ROWS($A$7:A303))&gt;=1000000000000,"",INDEX(タスク!E$5:E$300,MATCH(SMALL(タスク!$AB$5:$AB$300,ROWS($A$7:A303)),タスク!$AB$5:$AB$300,0))),"")</f>
        <v/>
      </c>
      <c r="F303" t="str">
        <f>IFERROR(IF(SMALL(タスク!$AB$5:$AB$300,ROWS($A$7:A303))&gt;=1000000000000,"",INDEX(タスク!F$5:F$300,MATCH(SMALL(タスク!$AB$5:$AB$300,ROWS($A$7:A303)),タスク!$AB$5:$AB$300,0))),"")</f>
        <v/>
      </c>
      <c r="G303" t="str">
        <f>IFERROR(IF(SMALL(タスク!$AB$5:$AB$300,ROWS($A$7:A303))&gt;=1000000000000,"",INDEX(タスク!G$5:G$300,MATCH(SMALL(タスク!$AB$5:$AB$300,ROWS($A$7:A303)),タスク!$AB$5:$AB$300,0))),"")</f>
        <v/>
      </c>
      <c r="H303" t="str">
        <f>IFERROR(IF(SMALL(タスク!$AB$5:$AB$300,ROWS($A$7:A303))&gt;=1000000000000,"",INDEX(タスク!H$5:H$300,MATCH(SMALL(タスク!$AB$5:$AB$300,ROWS($A$7:A303)),タスク!$AB$5:$AB$300,0))),"")</f>
        <v/>
      </c>
      <c r="I303" t="str">
        <f>IFERROR(IF(SMALL(タスク!$AB$5:$AB$300,ROWS($A$7:A303))&gt;=1000000000000,"",INDEX(タスク!I$5:I$300,MATCH(SMALL(タスク!$AB$5:$AB$300,ROWS($A$7:A303)),タスク!$AB$5:$AB$300,0))),"")</f>
        <v/>
      </c>
      <c r="J303" t="str">
        <f>IFERROR(IF(SMALL(タスク!$AB$5:$AB$300,ROWS($A$7:A303))&gt;=1000000000000,"",INDEX(タスク!J$5:J$300,MATCH(SMALL(タスク!$AB$5:$AB$300,ROWS($A$7:A303)),タスク!$AB$5:$AB$300,0))),"")</f>
        <v/>
      </c>
    </row>
    <row r="304" spans="1:10">
      <c r="A304" t="str">
        <f>IFERROR(IF(SMALL(タスク!$AB$5:$AB$300,ROWS($A$7:A304))&gt;=1000000000000,"",INDEX(タスク!A$5:A$300,MATCH(SMALL(タスク!$AB$5:$AB$300,ROWS($A$7:A304)),タスク!$AB$5:$AB$300,0))),"")</f>
        <v/>
      </c>
      <c r="B304" t="str">
        <f>IFERROR(IF(SMALL(タスク!$AB$5:$AB$300,ROWS($A$7:A304))&gt;=1000000000000,"",INDEX(タスク!B$5:B$300,MATCH(SMALL(タスク!$AB$5:$AB$300,ROWS($A$7:A304)),タスク!$AB$5:$AB$300,0))),"")</f>
        <v/>
      </c>
      <c r="C304" t="str">
        <f>IFERROR(IF(SMALL(タスク!$AB$5:$AB$300,ROWS($A$7:A304))&gt;=1000000000000,"",INDEX(タスク!C$5:C$300,MATCH(SMALL(タスク!$AB$5:$AB$300,ROWS($A$7:A304)),タスク!$AB$5:$AB$300,0))),"")</f>
        <v/>
      </c>
      <c r="D304" t="str">
        <f>IFERROR(IF(SMALL(タスク!$AB$5:$AB$300,ROWS($A$7:A304))&gt;=1000000000000,"",INDEX(タスク!D$5:D$300,MATCH(SMALL(タスク!$AB$5:$AB$300,ROWS($A$7:A304)),タスク!$AB$5:$AB$300,0))),"")</f>
        <v/>
      </c>
      <c r="E304" t="str">
        <f>IFERROR(IF(SMALL(タスク!$AB$5:$AB$300,ROWS($A$7:A304))&gt;=1000000000000,"",INDEX(タスク!E$5:E$300,MATCH(SMALL(タスク!$AB$5:$AB$300,ROWS($A$7:A304)),タスク!$AB$5:$AB$300,0))),"")</f>
        <v/>
      </c>
      <c r="F304" t="str">
        <f>IFERROR(IF(SMALL(タスク!$AB$5:$AB$300,ROWS($A$7:A304))&gt;=1000000000000,"",INDEX(タスク!F$5:F$300,MATCH(SMALL(タスク!$AB$5:$AB$300,ROWS($A$7:A304)),タスク!$AB$5:$AB$300,0))),"")</f>
        <v/>
      </c>
      <c r="G304" t="str">
        <f>IFERROR(IF(SMALL(タスク!$AB$5:$AB$300,ROWS($A$7:A304))&gt;=1000000000000,"",INDEX(タスク!G$5:G$300,MATCH(SMALL(タスク!$AB$5:$AB$300,ROWS($A$7:A304)),タスク!$AB$5:$AB$300,0))),"")</f>
        <v/>
      </c>
      <c r="H304" t="str">
        <f>IFERROR(IF(SMALL(タスク!$AB$5:$AB$300,ROWS($A$7:A304))&gt;=1000000000000,"",INDEX(タスク!H$5:H$300,MATCH(SMALL(タスク!$AB$5:$AB$300,ROWS($A$7:A304)),タスク!$AB$5:$AB$300,0))),"")</f>
        <v/>
      </c>
      <c r="I304" t="str">
        <f>IFERROR(IF(SMALL(タスク!$AB$5:$AB$300,ROWS($A$7:A304))&gt;=1000000000000,"",INDEX(タスク!I$5:I$300,MATCH(SMALL(タスク!$AB$5:$AB$300,ROWS($A$7:A304)),タスク!$AB$5:$AB$300,0))),"")</f>
        <v/>
      </c>
      <c r="J304" t="str">
        <f>IFERROR(IF(SMALL(タスク!$AB$5:$AB$300,ROWS($A$7:A304))&gt;=1000000000000,"",INDEX(タスク!J$5:J$300,MATCH(SMALL(タスク!$AB$5:$AB$300,ROWS($A$7:A304)),タスク!$AB$5:$AB$300,0))),"")</f>
        <v/>
      </c>
    </row>
    <row r="305" spans="1:10">
      <c r="A305" t="str">
        <f>IFERROR(IF(SMALL(タスク!$AB$5:$AB$300,ROWS($A$7:A305))&gt;=1000000000000,"",INDEX(タスク!A$5:A$300,MATCH(SMALL(タスク!$AB$5:$AB$300,ROWS($A$7:A305)),タスク!$AB$5:$AB$300,0))),"")</f>
        <v/>
      </c>
      <c r="B305" t="str">
        <f>IFERROR(IF(SMALL(タスク!$AB$5:$AB$300,ROWS($A$7:A305))&gt;=1000000000000,"",INDEX(タスク!B$5:B$300,MATCH(SMALL(タスク!$AB$5:$AB$300,ROWS($A$7:A305)),タスク!$AB$5:$AB$300,0))),"")</f>
        <v/>
      </c>
      <c r="C305" t="str">
        <f>IFERROR(IF(SMALL(タスク!$AB$5:$AB$300,ROWS($A$7:A305))&gt;=1000000000000,"",INDEX(タスク!C$5:C$300,MATCH(SMALL(タスク!$AB$5:$AB$300,ROWS($A$7:A305)),タスク!$AB$5:$AB$300,0))),"")</f>
        <v/>
      </c>
      <c r="D305" t="str">
        <f>IFERROR(IF(SMALL(タスク!$AB$5:$AB$300,ROWS($A$7:A305))&gt;=1000000000000,"",INDEX(タスク!D$5:D$300,MATCH(SMALL(タスク!$AB$5:$AB$300,ROWS($A$7:A305)),タスク!$AB$5:$AB$300,0))),"")</f>
        <v/>
      </c>
      <c r="E305" t="str">
        <f>IFERROR(IF(SMALL(タスク!$AB$5:$AB$300,ROWS($A$7:A305))&gt;=1000000000000,"",INDEX(タスク!E$5:E$300,MATCH(SMALL(タスク!$AB$5:$AB$300,ROWS($A$7:A305)),タスク!$AB$5:$AB$300,0))),"")</f>
        <v/>
      </c>
      <c r="F305" t="str">
        <f>IFERROR(IF(SMALL(タスク!$AB$5:$AB$300,ROWS($A$7:A305))&gt;=1000000000000,"",INDEX(タスク!F$5:F$300,MATCH(SMALL(タスク!$AB$5:$AB$300,ROWS($A$7:A305)),タスク!$AB$5:$AB$300,0))),"")</f>
        <v/>
      </c>
      <c r="G305" t="str">
        <f>IFERROR(IF(SMALL(タスク!$AB$5:$AB$300,ROWS($A$7:A305))&gt;=1000000000000,"",INDEX(タスク!G$5:G$300,MATCH(SMALL(タスク!$AB$5:$AB$300,ROWS($A$7:A305)),タスク!$AB$5:$AB$300,0))),"")</f>
        <v/>
      </c>
      <c r="H305" t="str">
        <f>IFERROR(IF(SMALL(タスク!$AB$5:$AB$300,ROWS($A$7:A305))&gt;=1000000000000,"",INDEX(タスク!H$5:H$300,MATCH(SMALL(タスク!$AB$5:$AB$300,ROWS($A$7:A305)),タスク!$AB$5:$AB$300,0))),"")</f>
        <v/>
      </c>
      <c r="I305" t="str">
        <f>IFERROR(IF(SMALL(タスク!$AB$5:$AB$300,ROWS($A$7:A305))&gt;=1000000000000,"",INDEX(タスク!I$5:I$300,MATCH(SMALL(タスク!$AB$5:$AB$300,ROWS($A$7:A305)),タスク!$AB$5:$AB$300,0))),"")</f>
        <v/>
      </c>
      <c r="J305" t="str">
        <f>IFERROR(IF(SMALL(タスク!$AB$5:$AB$300,ROWS($A$7:A305))&gt;=1000000000000,"",INDEX(タスク!J$5:J$300,MATCH(SMALL(タスク!$AB$5:$AB$300,ROWS($A$7:A305)),タスク!$AB$5:$AB$300,0))),"")</f>
        <v/>
      </c>
    </row>
    <row r="306" spans="1:10">
      <c r="A306" t="str">
        <f>IFERROR(IF(SMALL(タスク!$AB$5:$AB$300,ROWS($A$7:A306))&gt;=1000000000000,"",INDEX(タスク!A$5:A$300,MATCH(SMALL(タスク!$AB$5:$AB$300,ROWS($A$7:A306)),タスク!$AB$5:$AB$300,0))),"")</f>
        <v/>
      </c>
      <c r="B306" t="str">
        <f>IFERROR(IF(SMALL(タスク!$AB$5:$AB$300,ROWS($A$7:A306))&gt;=1000000000000,"",INDEX(タスク!B$5:B$300,MATCH(SMALL(タスク!$AB$5:$AB$300,ROWS($A$7:A306)),タスク!$AB$5:$AB$300,0))),"")</f>
        <v/>
      </c>
      <c r="C306" t="str">
        <f>IFERROR(IF(SMALL(タスク!$AB$5:$AB$300,ROWS($A$7:A306))&gt;=1000000000000,"",INDEX(タスク!C$5:C$300,MATCH(SMALL(タスク!$AB$5:$AB$300,ROWS($A$7:A306)),タスク!$AB$5:$AB$300,0))),"")</f>
        <v/>
      </c>
      <c r="D306" t="str">
        <f>IFERROR(IF(SMALL(タスク!$AB$5:$AB$300,ROWS($A$7:A306))&gt;=1000000000000,"",INDEX(タスク!D$5:D$300,MATCH(SMALL(タスク!$AB$5:$AB$300,ROWS($A$7:A306)),タスク!$AB$5:$AB$300,0))),"")</f>
        <v/>
      </c>
      <c r="E306" t="str">
        <f>IFERROR(IF(SMALL(タスク!$AB$5:$AB$300,ROWS($A$7:A306))&gt;=1000000000000,"",INDEX(タスク!E$5:E$300,MATCH(SMALL(タスク!$AB$5:$AB$300,ROWS($A$7:A306)),タスク!$AB$5:$AB$300,0))),"")</f>
        <v/>
      </c>
      <c r="F306" t="str">
        <f>IFERROR(IF(SMALL(タスク!$AB$5:$AB$300,ROWS($A$7:A306))&gt;=1000000000000,"",INDEX(タスク!F$5:F$300,MATCH(SMALL(タスク!$AB$5:$AB$300,ROWS($A$7:A306)),タスク!$AB$5:$AB$300,0))),"")</f>
        <v/>
      </c>
      <c r="G306" t="str">
        <f>IFERROR(IF(SMALL(タスク!$AB$5:$AB$300,ROWS($A$7:A306))&gt;=1000000000000,"",INDEX(タスク!G$5:G$300,MATCH(SMALL(タスク!$AB$5:$AB$300,ROWS($A$7:A306)),タスク!$AB$5:$AB$300,0))),"")</f>
        <v/>
      </c>
      <c r="H306" t="str">
        <f>IFERROR(IF(SMALL(タスク!$AB$5:$AB$300,ROWS($A$7:A306))&gt;=1000000000000,"",INDEX(タスク!H$5:H$300,MATCH(SMALL(タスク!$AB$5:$AB$300,ROWS($A$7:A306)),タスク!$AB$5:$AB$300,0))),"")</f>
        <v/>
      </c>
      <c r="I306" t="str">
        <f>IFERROR(IF(SMALL(タスク!$AB$5:$AB$300,ROWS($A$7:A306))&gt;=1000000000000,"",INDEX(タスク!I$5:I$300,MATCH(SMALL(タスク!$AB$5:$AB$300,ROWS($A$7:A306)),タスク!$AB$5:$AB$300,0))),"")</f>
        <v/>
      </c>
      <c r="J306" t="str">
        <f>IFERROR(IF(SMALL(タスク!$AB$5:$AB$300,ROWS($A$7:A306))&gt;=1000000000000,"",INDEX(タスク!J$5:J$300,MATCH(SMALL(タスク!$AB$5:$AB$300,ROWS($A$7:A306)),タスク!$AB$5:$AB$300,0))),"")</f>
        <v/>
      </c>
    </row>
  </sheetData>
  <mergeCells count="2">
    <mergeCell ref="A1:J1"/>
    <mergeCell ref="A2:J2"/>
  </mergeCells>
  <phoneticPr fontId="18"/>
  <dataValidations count="3">
    <dataValidation type="list" sqref="B4" xr:uid="{00000000-0002-0000-0300-000000000000}">
      <formula1>"すべて,プロト,アルファ,ベータ,マスター"</formula1>
    </dataValidation>
    <dataValidation type="list" sqref="E4" xr:uid="{00000000-0002-0000-0300-000001000000}">
      <formula1>"すべて,UI,カメラ,シーン,システム,ステージ,テスト,ハッキング,プレイヤー,演出,仕上げ,射撃,素材,敵,当たり判定"</formula1>
    </dataValidation>
    <dataValidation type="list" sqref="H4" xr:uid="{00000000-0002-0000-0300-000002000000}">
      <formula1>"すべて,完了以外,コードあり・要確認,一部実装,完了,計画追加,進行中,未着手"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サマリー</vt:lpstr>
      <vt:lpstr>タスク</vt:lpstr>
      <vt:lpstr>マイルストーン</vt:lpstr>
      <vt:lpstr>タスク一覧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大翔 佐々木</cp:lastModifiedBy>
  <dcterms:modified xsi:type="dcterms:W3CDTF">2026-10-12T07:23:26Z</dcterms:modified>
</cp:coreProperties>
</file>